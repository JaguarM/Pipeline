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ound robin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13">
    <fill>
      <patternFill/>
    </fill>
    <fill>
      <patternFill patternType="gray125"/>
    </fill>
    <fill>
      <patternFill patternType="solid">
        <fgColor rgb="FFD9E1F2"/>
        <bgColor rgb="FFEAF0FB"/>
      </patternFill>
    </fill>
    <fill>
      <patternFill patternType="solid">
        <fgColor rgb="FFFFF2CC"/>
        <bgColor rgb="FFEAF0FB"/>
      </patternFill>
    </fill>
    <fill>
      <patternFill patternType="solid">
        <fgColor rgb="FFEAF0FB"/>
        <bgColor rgb="FFD9E1F2"/>
      </patternFill>
    </fill>
    <fill>
      <patternFill patternType="solid">
        <fgColor rgb="FF000000"/>
        <bgColor rgb="FF003300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E1F2"/>
      </patternFill>
    </fill>
    <fill>
      <patternFill patternType="solid">
        <fgColor rgb="00D9E1F2"/>
        <bgColor rgb="00D9E1F2"/>
      </patternFill>
    </fill>
    <fill>
      <patternFill patternType="solid">
        <fgColor rgb="00EAF0FB"/>
        <bgColor rgb="00EAF0F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92D050"/>
          <bgColor rgb="0092D050"/>
        </patternFill>
      </fill>
    </dxf>
  </dxfs>
  <colors>
    <indexedColors>
      <rgbColor rgb="FF000000"/>
      <rgbColor rgb="FFEAF0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32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K4" activeCellId="0" sqref="AK4"/>
    </sheetView>
  </sheetViews>
  <sheetFormatPr baseColWidth="8" defaultColWidth="8.6796875" defaultRowHeight="15" zeroHeight="0" outlineLevelRow="0"/>
  <cols>
    <col width="25.95" customWidth="1" style="14" min="1" max="1"/>
    <col width="10" customWidth="1" style="14" min="2" max="2"/>
    <col width="4.09" customWidth="1" style="14" min="3" max="3"/>
    <col width="4" customWidth="1" style="14" min="4" max="32"/>
    <col width="10" customWidth="1" style="14" min="33" max="33"/>
    <col width="10" customWidth="1" style="14" min="34" max="35"/>
    <col width="8" customWidth="1" style="15" min="36" max="36"/>
    <col width="8" customWidth="1" style="15" min="37" max="37"/>
    <col width="8" customWidth="1" style="15" min="38" max="38"/>
    <col width="12" customWidth="1" style="15" min="39" max="39"/>
  </cols>
  <sheetData>
    <row r="1" ht="21.75" customHeight="1" s="15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7" t="inlineStr">
        <is>
          <t>points</t>
        </is>
      </c>
      <c r="AH1" s="18" t="inlineStr">
        <is>
          <t>wins</t>
        </is>
      </c>
      <c r="AI1" s="18" t="inlineStr">
        <is>
          <t>losses</t>
        </is>
      </c>
      <c r="AJ1" s="28" t="inlineStr">
        <is>
          <t>wins</t>
        </is>
      </c>
      <c r="AK1" s="28" t="inlineStr">
        <is>
          <t>losses</t>
        </is>
      </c>
      <c r="AL1" s="28" t="inlineStr">
        <is>
          <t>draws</t>
        </is>
      </c>
      <c r="AM1" s="28" t="inlineStr">
        <is>
          <t>w/l/d</t>
        </is>
      </c>
    </row>
    <row r="2" ht="19.5" customHeight="1" s="15">
      <c r="A2" s="19" t="inlineStr">
        <is>
          <t>name</t>
        </is>
      </c>
      <c r="B2" s="19" t="inlineStr">
        <is>
          <t>number</t>
        </is>
      </c>
      <c r="C2" s="19" t="n">
        <v>1</v>
      </c>
      <c r="D2" s="19" t="n">
        <v>2</v>
      </c>
      <c r="E2" s="19" t="n">
        <v>3</v>
      </c>
      <c r="F2" s="19" t="n">
        <v>4</v>
      </c>
      <c r="G2" s="19" t="n">
        <v>5</v>
      </c>
      <c r="H2" s="19" t="n">
        <v>6</v>
      </c>
      <c r="I2" s="19" t="n">
        <v>7</v>
      </c>
      <c r="J2" s="19" t="n">
        <v>8</v>
      </c>
      <c r="K2" s="19" t="n">
        <v>9</v>
      </c>
      <c r="L2" s="19" t="n">
        <v>10</v>
      </c>
      <c r="M2" s="19" t="n">
        <v>11</v>
      </c>
      <c r="N2" s="19" t="n">
        <v>12</v>
      </c>
      <c r="O2" s="19" t="n">
        <v>13</v>
      </c>
      <c r="P2" s="19" t="n">
        <v>14</v>
      </c>
      <c r="Q2" s="19" t="n">
        <v>15</v>
      </c>
      <c r="R2" s="19" t="n">
        <v>16</v>
      </c>
      <c r="S2" s="19" t="n">
        <v>17</v>
      </c>
      <c r="T2" s="19" t="n">
        <v>18</v>
      </c>
      <c r="U2" s="19" t="n">
        <v>19</v>
      </c>
      <c r="V2" s="19" t="n">
        <v>20</v>
      </c>
      <c r="W2" s="19" t="n">
        <v>21</v>
      </c>
      <c r="X2" s="19" t="n">
        <v>22</v>
      </c>
      <c r="Y2" s="19" t="n">
        <v>23</v>
      </c>
      <c r="Z2" s="19" t="n">
        <v>24</v>
      </c>
      <c r="AA2" s="19" t="n">
        <v>25</v>
      </c>
      <c r="AB2" s="19" t="n">
        <v>26</v>
      </c>
      <c r="AC2" s="19" t="n">
        <v>27</v>
      </c>
      <c r="AD2" s="19" t="n">
        <v>28</v>
      </c>
      <c r="AE2" s="19" t="n">
        <v>29</v>
      </c>
      <c r="AF2" s="19" t="n">
        <v>30</v>
      </c>
      <c r="AG2" s="17" t="n"/>
      <c r="AH2" s="19" t="n"/>
      <c r="AI2" s="19" t="n"/>
      <c r="AJ2" s="29" t="inlineStr"/>
      <c r="AK2" s="29" t="inlineStr"/>
      <c r="AL2" s="29" t="inlineStr"/>
      <c r="AM2" s="29" t="inlineStr">
        <is>
          <t>total</t>
        </is>
      </c>
    </row>
    <row r="3" ht="19.5" customHeight="1" s="15">
      <c r="A3" s="20" t="n"/>
      <c r="B3" s="21" t="n">
        <v>1</v>
      </c>
      <c r="C3" s="22" t="n"/>
      <c r="D3" s="23">
        <f>IF(D3="","",IF(D3&gt;C4,"W",IF(D3&lt;C4,"L","D")))</f>
        <v/>
      </c>
      <c r="E3" s="23">
        <f>IF(E3="","",IF(E3&gt;C5,"W",IF(E3&lt;C5,"L","D")))</f>
        <v/>
      </c>
      <c r="F3" s="23">
        <f>IF(F3="","",IF(F3&gt;C6,"W",IF(F3&lt;C6,"L","D")))</f>
        <v/>
      </c>
      <c r="G3" s="23">
        <f>IF(G3="","",IF(G3&gt;C7,"W",IF(G3&lt;C7,"L","D")))</f>
        <v/>
      </c>
      <c r="H3" s="23">
        <f>IF(H3="","",IF(H3&gt;C8,"W",IF(H3&lt;C8,"L","D")))</f>
        <v/>
      </c>
      <c r="I3" s="23">
        <f>IF(I3="","",IF(I3&gt;C9,"W",IF(I3&lt;C9,"L","D")))</f>
        <v/>
      </c>
      <c r="J3" s="23">
        <f>IF(J3="","",IF(J3&gt;C10,"W",IF(J3&lt;C10,"L","D")))</f>
        <v/>
      </c>
      <c r="K3" s="23">
        <f>IF(K3="","",IF(K3&gt;C11,"W",IF(K3&lt;C11,"L","D")))</f>
        <v/>
      </c>
      <c r="L3" s="23">
        <f>IF(L3="","",IF(L3&gt;C12,"W",IF(L3&lt;C12,"L","D")))</f>
        <v/>
      </c>
      <c r="M3" s="23">
        <f>IF(M3="","",IF(M3&gt;C13,"W",IF(M3&lt;C13,"L","D")))</f>
        <v/>
      </c>
      <c r="N3" s="23">
        <f>IF(N3="","",IF(N3&gt;C14,"W",IF(N3&lt;C14,"L","D")))</f>
        <v/>
      </c>
      <c r="O3" s="23">
        <f>IF(O3="","",IF(O3&gt;C15,"W",IF(O3&lt;C15,"L","D")))</f>
        <v/>
      </c>
      <c r="P3" s="23">
        <f>IF(P3="","",IF(P3&gt;C16,"W",IF(P3&lt;C16,"L","D")))</f>
        <v/>
      </c>
      <c r="Q3" s="23">
        <f>IF(Q3="","",IF(Q3&gt;C17,"W",IF(Q3&lt;C17,"L","D")))</f>
        <v/>
      </c>
      <c r="R3" s="23">
        <f>IF(R3="","",IF(R3&gt;C18,"W",IF(R3&lt;C18,"L","D")))</f>
        <v/>
      </c>
      <c r="S3" s="23">
        <f>IF(S3="","",IF(S3&gt;C19,"W",IF(S3&lt;C19,"L","D")))</f>
        <v/>
      </c>
      <c r="T3" s="23">
        <f>IF(T3="","",IF(T3&gt;C20,"W",IF(T3&lt;C20,"L","D")))</f>
        <v/>
      </c>
      <c r="U3" s="23">
        <f>IF(U3="","",IF(U3&gt;C21,"W",IF(U3&lt;C21,"L","D")))</f>
        <v/>
      </c>
      <c r="V3" s="23">
        <f>IF(V3="","",IF(V3&gt;C22,"W",IF(V3&lt;C22,"L","D")))</f>
        <v/>
      </c>
      <c r="W3" s="23">
        <f>IF(W3="","",IF(W3&gt;C23,"W",IF(W3&lt;C23,"L","D")))</f>
        <v/>
      </c>
      <c r="X3" s="23">
        <f>IF(X3="","",IF(X3&gt;C24,"W",IF(X3&lt;C24,"L","D")))</f>
        <v/>
      </c>
      <c r="Y3" s="23">
        <f>IF(Y3="","",IF(Y3&gt;C25,"W",IF(Y3&lt;C25,"L","D")))</f>
        <v/>
      </c>
      <c r="Z3" s="23">
        <f>IF(Z3="","",IF(Z3&gt;C26,"W",IF(Z3&lt;C26,"L","D")))</f>
        <v/>
      </c>
      <c r="AA3" s="23">
        <f>IF(AA3="","",IF(AA3&gt;C27,"W",IF(AA3&lt;C27,"L","D")))</f>
        <v/>
      </c>
      <c r="AB3" s="23">
        <f>IF(AB3="","",IF(AB3&gt;C28,"W",IF(AB3&lt;C28,"L","D")))</f>
        <v/>
      </c>
      <c r="AC3" s="23">
        <f>IF(AC3="","",IF(AC3&gt;C29,"W",IF(AC3&lt;C29,"L","D")))</f>
        <v/>
      </c>
      <c r="AD3" s="23">
        <f>IF(AD3="","",IF(AD3&gt;C30,"W",IF(AD3&lt;C30,"L","D")))</f>
        <v/>
      </c>
      <c r="AE3" s="23">
        <f>IF(AE3="","",IF(AE3&gt;C31,"W",IF(AE3&lt;C31,"L","D")))</f>
        <v/>
      </c>
      <c r="AF3" s="23">
        <f>IF(AF3="","",IF(AF3&gt;C32,"W",IF(AF3&lt;C32,"L","D")))</f>
        <v/>
      </c>
      <c r="AG3" s="24">
        <f>SUM(C3:AF3)</f>
        <v/>
      </c>
      <c r="AH3" s="25">
        <f>SUMPRODUCT((D3&lt;&gt;"")*(D3&gt;=0)+(E3&lt;&gt;"")*(E3&gt;=0)+(F3&lt;&gt;"")*(F3&gt;=0)+(G3&lt;&gt;"")*(G3&gt;=0)+(H3&lt;&gt;"")*(H3&gt;=0)+(I3&lt;&gt;"")*(I3&gt;=0)+(J3&lt;&gt;"")*(J3&gt;=0)+(K3&lt;&gt;"")*(K3&gt;=0)+(L3&lt;&gt;"")*(L3&gt;=0)+(M3&lt;&gt;"")*(M3&gt;=0)+(N3&lt;&gt;"")*(N3&gt;=0)+(O3&lt;&gt;"")*(O3&gt;=0)+(P3&lt;&gt;"")*(P3&gt;=0)+(Q3&lt;&gt;"")*(Q3&gt;=0)+(R3&lt;&gt;"")*(R3&gt;=0)+(S3&lt;&gt;"")*(S3&gt;=0)+(T3&lt;&gt;"")*(T3&gt;=0)+(U3&lt;&gt;"")*(U3&gt;=0)+(V3&lt;&gt;"")*(V3&gt;=0)+(W3&lt;&gt;"")*(W3&gt;=0)+(X3&lt;&gt;"")*(X3&gt;=0)+(Y3&lt;&gt;"")*(Y3&gt;=0)+(Z3&lt;&gt;"")*(Z3&gt;=0)+(AA3&lt;&gt;"")*(AA3&gt;=0)+(AB3&lt;&gt;"")*(AB3&gt;=0)+(AC3&lt;&gt;"")*(AC3&gt;=0)+(AD3&lt;&gt;"")*(AD3&gt;=0)+(AE3&lt;&gt;"")*(AE3&gt;=0)+(AF3&lt;&gt;"")*(AF3&gt;=0))</f>
        <v/>
      </c>
      <c r="AI3" s="26">
        <f>0</f>
        <v/>
      </c>
      <c r="AJ3" s="30">
        <f>COUNTIF(C3:AF3,"W")</f>
        <v/>
      </c>
      <c r="AK3" s="31">
        <f>COUNTIF(C3:AF3,"L")</f>
        <v/>
      </c>
      <c r="AL3" s="32">
        <f>COUNTIF(C3:AF3,"D")</f>
        <v/>
      </c>
      <c r="AM3" s="33">
        <f>AJ3+AK3+AL3</f>
        <v/>
      </c>
    </row>
    <row r="4" ht="19.5" customHeight="1" s="15">
      <c r="A4" s="20" t="n"/>
      <c r="B4" s="21" t="n">
        <v>2</v>
      </c>
      <c r="C4" s="27">
        <f>IF(C4="","",IF(C4&gt;D3,"W",IF(C4&lt;D3,"L","D")))</f>
        <v/>
      </c>
      <c r="D4" s="22" t="n"/>
      <c r="E4" s="23">
        <f>IF(E4="","",IF(E4&gt;D5,"W",IF(E4&lt;D5,"L","D")))</f>
        <v/>
      </c>
      <c r="F4" s="23">
        <f>IF(F4="","",IF(F4&gt;D6,"W",IF(F4&lt;D6,"L","D")))</f>
        <v/>
      </c>
      <c r="G4" s="23">
        <f>IF(G4="","",IF(G4&gt;D7,"W",IF(G4&lt;D7,"L","D")))</f>
        <v/>
      </c>
      <c r="H4" s="23">
        <f>IF(H4="","",IF(H4&gt;D8,"W",IF(H4&lt;D8,"L","D")))</f>
        <v/>
      </c>
      <c r="I4" s="23">
        <f>IF(I4="","",IF(I4&gt;D9,"W",IF(I4&lt;D9,"L","D")))</f>
        <v/>
      </c>
      <c r="J4" s="23">
        <f>IF(J4="","",IF(J4&gt;D10,"W",IF(J4&lt;D10,"L","D")))</f>
        <v/>
      </c>
      <c r="K4" s="23">
        <f>IF(K4="","",IF(K4&gt;D11,"W",IF(K4&lt;D11,"L","D")))</f>
        <v/>
      </c>
      <c r="L4" s="23">
        <f>IF(L4="","",IF(L4&gt;D12,"W",IF(L4&lt;D12,"L","D")))</f>
        <v/>
      </c>
      <c r="M4" s="23">
        <f>IF(M4="","",IF(M4&gt;D13,"W",IF(M4&lt;D13,"L","D")))</f>
        <v/>
      </c>
      <c r="N4" s="23">
        <f>IF(N4="","",IF(N4&gt;D14,"W",IF(N4&lt;D14,"L","D")))</f>
        <v/>
      </c>
      <c r="O4" s="23">
        <f>IF(O4="","",IF(O4&gt;D15,"W",IF(O4&lt;D15,"L","D")))</f>
        <v/>
      </c>
      <c r="P4" s="23">
        <f>IF(P4="","",IF(P4&gt;D16,"W",IF(P4&lt;D16,"L","D")))</f>
        <v/>
      </c>
      <c r="Q4" s="23">
        <f>IF(Q4="","",IF(Q4&gt;D17,"W",IF(Q4&lt;D17,"L","D")))</f>
        <v/>
      </c>
      <c r="R4" s="23">
        <f>IF(R4="","",IF(R4&gt;D18,"W",IF(R4&lt;D18,"L","D")))</f>
        <v/>
      </c>
      <c r="S4" s="23">
        <f>IF(S4="","",IF(S4&gt;D19,"W",IF(S4&lt;D19,"L","D")))</f>
        <v/>
      </c>
      <c r="T4" s="23">
        <f>IF(T4="","",IF(T4&gt;D20,"W",IF(T4&lt;D20,"L","D")))</f>
        <v/>
      </c>
      <c r="U4" s="23">
        <f>IF(U4="","",IF(U4&gt;D21,"W",IF(U4&lt;D21,"L","D")))</f>
        <v/>
      </c>
      <c r="V4" s="23">
        <f>IF(V4="","",IF(V4&gt;D22,"W",IF(V4&lt;D22,"L","D")))</f>
        <v/>
      </c>
      <c r="W4" s="23">
        <f>IF(W4="","",IF(W4&gt;D23,"W",IF(W4&lt;D23,"L","D")))</f>
        <v/>
      </c>
      <c r="X4" s="23">
        <f>IF(X4="","",IF(X4&gt;D24,"W",IF(X4&lt;D24,"L","D")))</f>
        <v/>
      </c>
      <c r="Y4" s="23">
        <f>IF(Y4="","",IF(Y4&gt;D25,"W",IF(Y4&lt;D25,"L","D")))</f>
        <v/>
      </c>
      <c r="Z4" s="23">
        <f>IF(Z4="","",IF(Z4&gt;D26,"W",IF(Z4&lt;D26,"L","D")))</f>
        <v/>
      </c>
      <c r="AA4" s="23">
        <f>IF(AA4="","",IF(AA4&gt;D27,"W",IF(AA4&lt;D27,"L","D")))</f>
        <v/>
      </c>
      <c r="AB4" s="23">
        <f>IF(AB4="","",IF(AB4&gt;D28,"W",IF(AB4&lt;D28,"L","D")))</f>
        <v/>
      </c>
      <c r="AC4" s="23">
        <f>IF(AC4="","",IF(AC4&gt;D29,"W",IF(AC4&lt;D29,"L","D")))</f>
        <v/>
      </c>
      <c r="AD4" s="23">
        <f>IF(AD4="","",IF(AD4&gt;D30,"W",IF(AD4&lt;D30,"L","D")))</f>
        <v/>
      </c>
      <c r="AE4" s="23">
        <f>IF(AE4="","",IF(AE4&gt;D31,"W",IF(AE4&lt;D31,"L","D")))</f>
        <v/>
      </c>
      <c r="AF4" s="23">
        <f>IF(AF4="","",IF(AF4&gt;D32,"W",IF(AF4&lt;D32,"L","D")))</f>
        <v/>
      </c>
      <c r="AG4" s="24">
        <f>SUM(C4:AF4)</f>
        <v/>
      </c>
      <c r="AH4" s="25">
        <f>SUMPRODUCT((E4&lt;&gt;"")*(E4&gt;=0)+(F4&lt;&gt;"")*(F4&gt;=0)+(G4&lt;&gt;"")*(G4&gt;=0)+(H4&lt;&gt;"")*(H4&gt;=0)+(I4&lt;&gt;"")*(I4&gt;=0)+(J4&lt;&gt;"")*(J4&gt;=0)+(K4&lt;&gt;"")*(K4&gt;=0)+(L4&lt;&gt;"")*(L4&gt;=0)+(M4&lt;&gt;"")*(M4&gt;=0)+(N4&lt;&gt;"")*(N4&gt;=0)+(O4&lt;&gt;"")*(O4&gt;=0)+(P4&lt;&gt;"")*(P4&gt;=0)+(Q4&lt;&gt;"")*(Q4&gt;=0)+(R4&lt;&gt;"")*(R4&gt;=0)+(S4&lt;&gt;"")*(S4&gt;=0)+(T4&lt;&gt;"")*(T4&gt;=0)+(U4&lt;&gt;"")*(U4&gt;=0)+(V4&lt;&gt;"")*(V4&gt;=0)+(W4&lt;&gt;"")*(W4&gt;=0)+(X4&lt;&gt;"")*(X4&gt;=0)+(Y4&lt;&gt;"")*(Y4&gt;=0)+(Z4&lt;&gt;"")*(Z4&gt;=0)+(AA4&lt;&gt;"")*(AA4&gt;=0)+(AB4&lt;&gt;"")*(AB4&gt;=0)+(AC4&lt;&gt;"")*(AC4&gt;=0)+(AD4&lt;&gt;"")*(AD4&gt;=0)+(AE4&lt;&gt;"")*(AE4&gt;=0)+(AF4&lt;&gt;"")*(AF4&gt;=0))</f>
        <v/>
      </c>
      <c r="AI4" s="26">
        <f>SUMPRODUCT((C4&lt;&gt;"")*(C4&gt;=0))</f>
        <v/>
      </c>
      <c r="AJ4" s="30">
        <f>COUNTIF(C4:AF4,"W")</f>
        <v/>
      </c>
      <c r="AK4" s="31">
        <f>COUNTIF(C4:AF4,"L")</f>
        <v/>
      </c>
      <c r="AL4" s="32">
        <f>COUNTIF(C4:AF4,"D")</f>
        <v/>
      </c>
      <c r="AM4" s="33">
        <f>AJ4+AK4+AL4</f>
        <v/>
      </c>
    </row>
    <row r="5" ht="19.5" customHeight="1" s="15">
      <c r="A5" s="20" t="n"/>
      <c r="B5" s="21" t="n">
        <v>3</v>
      </c>
      <c r="C5" s="27">
        <f>IF(C5="","",IF(C5&gt;E3,"W",IF(C5&lt;E3,"L","D")))</f>
        <v/>
      </c>
      <c r="D5" s="27">
        <f>IF(D5="","",IF(D5&gt;E4,"W",IF(D5&lt;E4,"L","D")))</f>
        <v/>
      </c>
      <c r="E5" s="22" t="n"/>
      <c r="F5" s="23">
        <f>IF(F5="","",IF(F5&gt;E6,"W",IF(F5&lt;E6,"L","D")))</f>
        <v/>
      </c>
      <c r="G5" s="23">
        <f>IF(G5="","",IF(G5&gt;E7,"W",IF(G5&lt;E7,"L","D")))</f>
        <v/>
      </c>
      <c r="H5" s="23">
        <f>IF(H5="","",IF(H5&gt;E8,"W",IF(H5&lt;E8,"L","D")))</f>
        <v/>
      </c>
      <c r="I5" s="23">
        <f>IF(I5="","",IF(I5&gt;E9,"W",IF(I5&lt;E9,"L","D")))</f>
        <v/>
      </c>
      <c r="J5" s="23">
        <f>IF(J5="","",IF(J5&gt;E10,"W",IF(J5&lt;E10,"L","D")))</f>
        <v/>
      </c>
      <c r="K5" s="23">
        <f>IF(K5="","",IF(K5&gt;E11,"W",IF(K5&lt;E11,"L","D")))</f>
        <v/>
      </c>
      <c r="L5" s="23">
        <f>IF(L5="","",IF(L5&gt;E12,"W",IF(L5&lt;E12,"L","D")))</f>
        <v/>
      </c>
      <c r="M5" s="23">
        <f>IF(M5="","",IF(M5&gt;E13,"W",IF(M5&lt;E13,"L","D")))</f>
        <v/>
      </c>
      <c r="N5" s="23">
        <f>IF(N5="","",IF(N5&gt;E14,"W",IF(N5&lt;E14,"L","D")))</f>
        <v/>
      </c>
      <c r="O5" s="23">
        <f>IF(O5="","",IF(O5&gt;E15,"W",IF(O5&lt;E15,"L","D")))</f>
        <v/>
      </c>
      <c r="P5" s="23">
        <f>IF(P5="","",IF(P5&gt;E16,"W",IF(P5&lt;E16,"L","D")))</f>
        <v/>
      </c>
      <c r="Q5" s="23">
        <f>IF(Q5="","",IF(Q5&gt;E17,"W",IF(Q5&lt;E17,"L","D")))</f>
        <v/>
      </c>
      <c r="R5" s="23">
        <f>IF(R5="","",IF(R5&gt;E18,"W",IF(R5&lt;E18,"L","D")))</f>
        <v/>
      </c>
      <c r="S5" s="23">
        <f>IF(S5="","",IF(S5&gt;E19,"W",IF(S5&lt;E19,"L","D")))</f>
        <v/>
      </c>
      <c r="T5" s="23">
        <f>IF(T5="","",IF(T5&gt;E20,"W",IF(T5&lt;E20,"L","D")))</f>
        <v/>
      </c>
      <c r="U5" s="23">
        <f>IF(U5="","",IF(U5&gt;E21,"W",IF(U5&lt;E21,"L","D")))</f>
        <v/>
      </c>
      <c r="V5" s="23">
        <f>IF(V5="","",IF(V5&gt;E22,"W",IF(V5&lt;E22,"L","D")))</f>
        <v/>
      </c>
      <c r="W5" s="23">
        <f>IF(W5="","",IF(W5&gt;E23,"W",IF(W5&lt;E23,"L","D")))</f>
        <v/>
      </c>
      <c r="X5" s="23">
        <f>IF(X5="","",IF(X5&gt;E24,"W",IF(X5&lt;E24,"L","D")))</f>
        <v/>
      </c>
      <c r="Y5" s="23">
        <f>IF(Y5="","",IF(Y5&gt;E25,"W",IF(Y5&lt;E25,"L","D")))</f>
        <v/>
      </c>
      <c r="Z5" s="23">
        <f>IF(Z5="","",IF(Z5&gt;E26,"W",IF(Z5&lt;E26,"L","D")))</f>
        <v/>
      </c>
      <c r="AA5" s="23">
        <f>IF(AA5="","",IF(AA5&gt;E27,"W",IF(AA5&lt;E27,"L","D")))</f>
        <v/>
      </c>
      <c r="AB5" s="23">
        <f>IF(AB5="","",IF(AB5&gt;E28,"W",IF(AB5&lt;E28,"L","D")))</f>
        <v/>
      </c>
      <c r="AC5" s="23">
        <f>IF(AC5="","",IF(AC5&gt;E29,"W",IF(AC5&lt;E29,"L","D")))</f>
        <v/>
      </c>
      <c r="AD5" s="23">
        <f>IF(AD5="","",IF(AD5&gt;E30,"W",IF(AD5&lt;E30,"L","D")))</f>
        <v/>
      </c>
      <c r="AE5" s="23">
        <f>IF(AE5="","",IF(AE5&gt;E31,"W",IF(AE5&lt;E31,"L","D")))</f>
        <v/>
      </c>
      <c r="AF5" s="23">
        <f>IF(AF5="","",IF(AF5&gt;E32,"W",IF(AF5&lt;E32,"L","D")))</f>
        <v/>
      </c>
      <c r="AG5" s="24">
        <f>SUM(C5:AF5)</f>
        <v/>
      </c>
      <c r="AH5" s="25">
        <f>SUMPRODUCT((F5&lt;&gt;"")*(F5&gt;=0)+(G5&lt;&gt;"")*(G5&gt;=0)+(H5&lt;&gt;"")*(H5&gt;=0)+(I5&lt;&gt;"")*(I5&gt;=0)+(J5&lt;&gt;"")*(J5&gt;=0)+(K5&lt;&gt;"")*(K5&gt;=0)+(L5&lt;&gt;"")*(L5&gt;=0)+(M5&lt;&gt;"")*(M5&gt;=0)+(N5&lt;&gt;"")*(N5&gt;=0)+(O5&lt;&gt;"")*(O5&gt;=0)+(P5&lt;&gt;"")*(P5&gt;=0)+(Q5&lt;&gt;"")*(Q5&gt;=0)+(R5&lt;&gt;"")*(R5&gt;=0)+(S5&lt;&gt;"")*(S5&gt;=0)+(T5&lt;&gt;"")*(T5&gt;=0)+(U5&lt;&gt;"")*(U5&gt;=0)+(V5&lt;&gt;"")*(V5&gt;=0)+(W5&lt;&gt;"")*(W5&gt;=0)+(X5&lt;&gt;"")*(X5&gt;=0)+(Y5&lt;&gt;"")*(Y5&gt;=0)+(Z5&lt;&gt;"")*(Z5&gt;=0)+(AA5&lt;&gt;"")*(AA5&gt;=0)+(AB5&lt;&gt;"")*(AB5&gt;=0)+(AC5&lt;&gt;"")*(AC5&gt;=0)+(AD5&lt;&gt;"")*(AD5&gt;=0)+(AE5&lt;&gt;"")*(AE5&gt;=0)+(AF5&lt;&gt;"")*(AF5&gt;=0))</f>
        <v/>
      </c>
      <c r="AI5" s="26">
        <f>SUMPRODUCT((C5&lt;&gt;"")*(C5&gt;=0)+(D5&lt;&gt;"")*(D5&gt;=0))</f>
        <v/>
      </c>
      <c r="AJ5" s="30">
        <f>COUNTIF(C5:AF5,"W")</f>
        <v/>
      </c>
      <c r="AK5" s="31">
        <f>COUNTIF(C5:AF5,"L")</f>
        <v/>
      </c>
      <c r="AL5" s="32">
        <f>COUNTIF(C5:AF5,"D")</f>
        <v/>
      </c>
      <c r="AM5" s="33">
        <f>AJ5+AK5+AL5</f>
        <v/>
      </c>
    </row>
    <row r="6" ht="19.5" customHeight="1" s="15">
      <c r="A6" s="20" t="n"/>
      <c r="B6" s="21" t="n">
        <v>4</v>
      </c>
      <c r="C6" s="27">
        <f>IF(C6="","",IF(C6&gt;F3,"W",IF(C6&lt;F3,"L","D")))</f>
        <v/>
      </c>
      <c r="D6" s="27">
        <f>IF(D6="","",IF(D6&gt;F4,"W",IF(D6&lt;F4,"L","D")))</f>
        <v/>
      </c>
      <c r="E6" s="27">
        <f>IF(E6="","",IF(E6&gt;F5,"W",IF(E6&lt;F5,"L","D")))</f>
        <v/>
      </c>
      <c r="F6" s="22" t="n"/>
      <c r="G6" s="23">
        <f>IF(G6="","",IF(G6&gt;F7,"W",IF(G6&lt;F7,"L","D")))</f>
        <v/>
      </c>
      <c r="H6" s="23">
        <f>IF(H6="","",IF(H6&gt;F8,"W",IF(H6&lt;F8,"L","D")))</f>
        <v/>
      </c>
      <c r="I6" s="23">
        <f>IF(I6="","",IF(I6&gt;F9,"W",IF(I6&lt;F9,"L","D")))</f>
        <v/>
      </c>
      <c r="J6" s="23">
        <f>IF(J6="","",IF(J6&gt;F10,"W",IF(J6&lt;F10,"L","D")))</f>
        <v/>
      </c>
      <c r="K6" s="23">
        <f>IF(K6="","",IF(K6&gt;F11,"W",IF(K6&lt;F11,"L","D")))</f>
        <v/>
      </c>
      <c r="L6" s="23">
        <f>IF(L6="","",IF(L6&gt;F12,"W",IF(L6&lt;F12,"L","D")))</f>
        <v/>
      </c>
      <c r="M6" s="23">
        <f>IF(M6="","",IF(M6&gt;F13,"W",IF(M6&lt;F13,"L","D")))</f>
        <v/>
      </c>
      <c r="N6" s="23">
        <f>IF(N6="","",IF(N6&gt;F14,"W",IF(N6&lt;F14,"L","D")))</f>
        <v/>
      </c>
      <c r="O6" s="23">
        <f>IF(O6="","",IF(O6&gt;F15,"W",IF(O6&lt;F15,"L","D")))</f>
        <v/>
      </c>
      <c r="P6" s="23">
        <f>IF(P6="","",IF(P6&gt;F16,"W",IF(P6&lt;F16,"L","D")))</f>
        <v/>
      </c>
      <c r="Q6" s="23">
        <f>IF(Q6="","",IF(Q6&gt;F17,"W",IF(Q6&lt;F17,"L","D")))</f>
        <v/>
      </c>
      <c r="R6" s="23">
        <f>IF(R6="","",IF(R6&gt;F18,"W",IF(R6&lt;F18,"L","D")))</f>
        <v/>
      </c>
      <c r="S6" s="23">
        <f>IF(S6="","",IF(S6&gt;F19,"W",IF(S6&lt;F19,"L","D")))</f>
        <v/>
      </c>
      <c r="T6" s="23">
        <f>IF(T6="","",IF(T6&gt;F20,"W",IF(T6&lt;F20,"L","D")))</f>
        <v/>
      </c>
      <c r="U6" s="23">
        <f>IF(U6="","",IF(U6&gt;F21,"W",IF(U6&lt;F21,"L","D")))</f>
        <v/>
      </c>
      <c r="V6" s="23">
        <f>IF(V6="","",IF(V6&gt;F22,"W",IF(V6&lt;F22,"L","D")))</f>
        <v/>
      </c>
      <c r="W6" s="23">
        <f>IF(W6="","",IF(W6&gt;F23,"W",IF(W6&lt;F23,"L","D")))</f>
        <v/>
      </c>
      <c r="X6" s="23">
        <f>IF(X6="","",IF(X6&gt;F24,"W",IF(X6&lt;F24,"L","D")))</f>
        <v/>
      </c>
      <c r="Y6" s="23">
        <f>IF(Y6="","",IF(Y6&gt;F25,"W",IF(Y6&lt;F25,"L","D")))</f>
        <v/>
      </c>
      <c r="Z6" s="23">
        <f>IF(Z6="","",IF(Z6&gt;F26,"W",IF(Z6&lt;F26,"L","D")))</f>
        <v/>
      </c>
      <c r="AA6" s="23">
        <f>IF(AA6="","",IF(AA6&gt;F27,"W",IF(AA6&lt;F27,"L","D")))</f>
        <v/>
      </c>
      <c r="AB6" s="23">
        <f>IF(AB6="","",IF(AB6&gt;F28,"W",IF(AB6&lt;F28,"L","D")))</f>
        <v/>
      </c>
      <c r="AC6" s="23">
        <f>IF(AC6="","",IF(AC6&gt;F29,"W",IF(AC6&lt;F29,"L","D")))</f>
        <v/>
      </c>
      <c r="AD6" s="23">
        <f>IF(AD6="","",IF(AD6&gt;F30,"W",IF(AD6&lt;F30,"L","D")))</f>
        <v/>
      </c>
      <c r="AE6" s="23">
        <f>IF(AE6="","",IF(AE6&gt;F31,"W",IF(AE6&lt;F31,"L","D")))</f>
        <v/>
      </c>
      <c r="AF6" s="23">
        <f>IF(AF6="","",IF(AF6&gt;F32,"W",IF(AF6&lt;F32,"L","D")))</f>
        <v/>
      </c>
      <c r="AG6" s="24">
        <f>SUM(C6:AF6)</f>
        <v/>
      </c>
      <c r="AH6" s="25">
        <f>SUMPRODUCT((G6&lt;&gt;"")*(G6&gt;=0)+(H6&lt;&gt;"")*(H6&gt;=0)+(I6&lt;&gt;"")*(I6&gt;=0)+(J6&lt;&gt;"")*(J6&gt;=0)+(K6&lt;&gt;"")*(K6&gt;=0)+(L6&lt;&gt;"")*(L6&gt;=0)+(M6&lt;&gt;"")*(M6&gt;=0)+(N6&lt;&gt;"")*(N6&gt;=0)+(O6&lt;&gt;"")*(O6&gt;=0)+(P6&lt;&gt;"")*(P6&gt;=0)+(Q6&lt;&gt;"")*(Q6&gt;=0)+(R6&lt;&gt;"")*(R6&gt;=0)+(S6&lt;&gt;"")*(S6&gt;=0)+(T6&lt;&gt;"")*(T6&gt;=0)+(U6&lt;&gt;"")*(U6&gt;=0)+(V6&lt;&gt;"")*(V6&gt;=0)+(W6&lt;&gt;"")*(W6&gt;=0)+(X6&lt;&gt;"")*(X6&gt;=0)+(Y6&lt;&gt;"")*(Y6&gt;=0)+(Z6&lt;&gt;"")*(Z6&gt;=0)+(AA6&lt;&gt;"")*(AA6&gt;=0)+(AB6&lt;&gt;"")*(AB6&gt;=0)+(AC6&lt;&gt;"")*(AC6&gt;=0)+(AD6&lt;&gt;"")*(AD6&gt;=0)+(AE6&lt;&gt;"")*(AE6&gt;=0)+(AF6&lt;&gt;"")*(AF6&gt;=0))</f>
        <v/>
      </c>
      <c r="AI6" s="26">
        <f>SUMPRODUCT((C6&lt;&gt;"")*(C6&gt;=0)+(D6&lt;&gt;"")*(D6&gt;=0)+(E6&lt;&gt;"")*(E6&gt;=0))</f>
        <v/>
      </c>
      <c r="AJ6" s="30">
        <f>COUNTIF(C6:AF6,"W")</f>
        <v/>
      </c>
      <c r="AK6" s="31">
        <f>COUNTIF(C6:AF6,"L")</f>
        <v/>
      </c>
      <c r="AL6" s="32">
        <f>COUNTIF(C6:AF6,"D")</f>
        <v/>
      </c>
      <c r="AM6" s="33">
        <f>AJ6+AK6+AL6</f>
        <v/>
      </c>
    </row>
    <row r="7" ht="19.5" customHeight="1" s="15">
      <c r="A7" s="20" t="n"/>
      <c r="B7" s="21" t="n">
        <v>5</v>
      </c>
      <c r="C7" s="27">
        <f>IF(C7="","",IF(C7&gt;G3,"W",IF(C7&lt;G3,"L","D")))</f>
        <v/>
      </c>
      <c r="D7" s="27">
        <f>IF(D7="","",IF(D7&gt;G4,"W",IF(D7&lt;G4,"L","D")))</f>
        <v/>
      </c>
      <c r="E7" s="27">
        <f>IF(E7="","",IF(E7&gt;G5,"W",IF(E7&lt;G5,"L","D")))</f>
        <v/>
      </c>
      <c r="F7" s="27">
        <f>IF(F7="","",IF(F7&gt;G6,"W",IF(F7&lt;G6,"L","D")))</f>
        <v/>
      </c>
      <c r="G7" s="22" t="n"/>
      <c r="H7" s="23">
        <f>IF(H7="","",IF(H7&gt;G8,"W",IF(H7&lt;G8,"L","D")))</f>
        <v/>
      </c>
      <c r="I7" s="23">
        <f>IF(I7="","",IF(I7&gt;G9,"W",IF(I7&lt;G9,"L","D")))</f>
        <v/>
      </c>
      <c r="J7" s="23">
        <f>IF(J7="","",IF(J7&gt;G10,"W",IF(J7&lt;G10,"L","D")))</f>
        <v/>
      </c>
      <c r="K7" s="23">
        <f>IF(K7="","",IF(K7&gt;G11,"W",IF(K7&lt;G11,"L","D")))</f>
        <v/>
      </c>
      <c r="L7" s="23">
        <f>IF(L7="","",IF(L7&gt;G12,"W",IF(L7&lt;G12,"L","D")))</f>
        <v/>
      </c>
      <c r="M7" s="23">
        <f>IF(M7="","",IF(M7&gt;G13,"W",IF(M7&lt;G13,"L","D")))</f>
        <v/>
      </c>
      <c r="N7" s="23">
        <f>IF(N7="","",IF(N7&gt;G14,"W",IF(N7&lt;G14,"L","D")))</f>
        <v/>
      </c>
      <c r="O7" s="23">
        <f>IF(O7="","",IF(O7&gt;G15,"W",IF(O7&lt;G15,"L","D")))</f>
        <v/>
      </c>
      <c r="P7" s="23">
        <f>IF(P7="","",IF(P7&gt;G16,"W",IF(P7&lt;G16,"L","D")))</f>
        <v/>
      </c>
      <c r="Q7" s="23">
        <f>IF(Q7="","",IF(Q7&gt;G17,"W",IF(Q7&lt;G17,"L","D")))</f>
        <v/>
      </c>
      <c r="R7" s="23">
        <f>IF(R7="","",IF(R7&gt;G18,"W",IF(R7&lt;G18,"L","D")))</f>
        <v/>
      </c>
      <c r="S7" s="23">
        <f>IF(S7="","",IF(S7&gt;G19,"W",IF(S7&lt;G19,"L","D")))</f>
        <v/>
      </c>
      <c r="T7" s="23">
        <f>IF(T7="","",IF(T7&gt;G20,"W",IF(T7&lt;G20,"L","D")))</f>
        <v/>
      </c>
      <c r="U7" s="23">
        <f>IF(U7="","",IF(U7&gt;G21,"W",IF(U7&lt;G21,"L","D")))</f>
        <v/>
      </c>
      <c r="V7" s="23">
        <f>IF(V7="","",IF(V7&gt;G22,"W",IF(V7&lt;G22,"L","D")))</f>
        <v/>
      </c>
      <c r="W7" s="23">
        <f>IF(W7="","",IF(W7&gt;G23,"W",IF(W7&lt;G23,"L","D")))</f>
        <v/>
      </c>
      <c r="X7" s="23">
        <f>IF(X7="","",IF(X7&gt;G24,"W",IF(X7&lt;G24,"L","D")))</f>
        <v/>
      </c>
      <c r="Y7" s="23">
        <f>IF(Y7="","",IF(Y7&gt;G25,"W",IF(Y7&lt;G25,"L","D")))</f>
        <v/>
      </c>
      <c r="Z7" s="23">
        <f>IF(Z7="","",IF(Z7&gt;G26,"W",IF(Z7&lt;G26,"L","D")))</f>
        <v/>
      </c>
      <c r="AA7" s="23">
        <f>IF(AA7="","",IF(AA7&gt;G27,"W",IF(AA7&lt;G27,"L","D")))</f>
        <v/>
      </c>
      <c r="AB7" s="23">
        <f>IF(AB7="","",IF(AB7&gt;G28,"W",IF(AB7&lt;G28,"L","D")))</f>
        <v/>
      </c>
      <c r="AC7" s="23">
        <f>IF(AC7="","",IF(AC7&gt;G29,"W",IF(AC7&lt;G29,"L","D")))</f>
        <v/>
      </c>
      <c r="AD7" s="23">
        <f>IF(AD7="","",IF(AD7&gt;G30,"W",IF(AD7&lt;G30,"L","D")))</f>
        <v/>
      </c>
      <c r="AE7" s="23">
        <f>IF(AE7="","",IF(AE7&gt;G31,"W",IF(AE7&lt;G31,"L","D")))</f>
        <v/>
      </c>
      <c r="AF7" s="23">
        <f>IF(AF7="","",IF(AF7&gt;G32,"W",IF(AF7&lt;G32,"L","D")))</f>
        <v/>
      </c>
      <c r="AG7" s="24">
        <f>SUM(C7:AF7)</f>
        <v/>
      </c>
      <c r="AH7" s="25">
        <f>SUMPRODUCT((H7&lt;&gt;"")*(H7&gt;=0)+(I7&lt;&gt;"")*(I7&gt;=0)+(J7&lt;&gt;"")*(J7&gt;=0)+(K7&lt;&gt;"")*(K7&gt;=0)+(L7&lt;&gt;"")*(L7&gt;=0)+(M7&lt;&gt;"")*(M7&gt;=0)+(N7&lt;&gt;"")*(N7&gt;=0)+(O7&lt;&gt;"")*(O7&gt;=0)+(P7&lt;&gt;"")*(P7&gt;=0)+(Q7&lt;&gt;"")*(Q7&gt;=0)+(R7&lt;&gt;"")*(R7&gt;=0)+(S7&lt;&gt;"")*(S7&gt;=0)+(T7&lt;&gt;"")*(T7&gt;=0)+(U7&lt;&gt;"")*(U7&gt;=0)+(V7&lt;&gt;"")*(V7&gt;=0)+(W7&lt;&gt;"")*(W7&gt;=0)+(X7&lt;&gt;"")*(X7&gt;=0)+(Y7&lt;&gt;"")*(Y7&gt;=0)+(Z7&lt;&gt;"")*(Z7&gt;=0)+(AA7&lt;&gt;"")*(AA7&gt;=0)+(AB7&lt;&gt;"")*(AB7&gt;=0)+(AC7&lt;&gt;"")*(AC7&gt;=0)+(AD7&lt;&gt;"")*(AD7&gt;=0)+(AE7&lt;&gt;"")*(AE7&gt;=0)+(AF7&lt;&gt;"")*(AF7&gt;=0))</f>
        <v/>
      </c>
      <c r="AI7" s="26">
        <f>SUMPRODUCT((C7&lt;&gt;"")*(C7&gt;=0)+(D7&lt;&gt;"")*(D7&gt;=0)+(E7&lt;&gt;"")*(E7&gt;=0)+(F7&lt;&gt;"")*(F7&gt;=0))</f>
        <v/>
      </c>
      <c r="AJ7" s="30">
        <f>COUNTIF(C7:AF7,"W")</f>
        <v/>
      </c>
      <c r="AK7" s="31">
        <f>COUNTIF(C7:AF7,"L")</f>
        <v/>
      </c>
      <c r="AL7" s="32">
        <f>COUNTIF(C7:AF7,"D")</f>
        <v/>
      </c>
      <c r="AM7" s="33">
        <f>AJ7+AK7+AL7</f>
        <v/>
      </c>
    </row>
    <row r="8" ht="19.5" customHeight="1" s="15">
      <c r="A8" s="20" t="n"/>
      <c r="B8" s="21" t="n">
        <v>6</v>
      </c>
      <c r="C8" s="27">
        <f>IF(C8="","",IF(C8&gt;H3,"W",IF(C8&lt;H3,"L","D")))</f>
        <v/>
      </c>
      <c r="D8" s="27">
        <f>IF(D8="","",IF(D8&gt;H4,"W",IF(D8&lt;H4,"L","D")))</f>
        <v/>
      </c>
      <c r="E8" s="27">
        <f>IF(E8="","",IF(E8&gt;H5,"W",IF(E8&lt;H5,"L","D")))</f>
        <v/>
      </c>
      <c r="F8" s="27">
        <f>IF(F8="","",IF(F8&gt;H6,"W",IF(F8&lt;H6,"L","D")))</f>
        <v/>
      </c>
      <c r="G8" s="27">
        <f>IF(G8="","",IF(G8&gt;H7,"W",IF(G8&lt;H7,"L","D")))</f>
        <v/>
      </c>
      <c r="H8" s="22" t="n"/>
      <c r="I8" s="23">
        <f>IF(I8="","",IF(I8&gt;H9,"W",IF(I8&lt;H9,"L","D")))</f>
        <v/>
      </c>
      <c r="J8" s="23">
        <f>IF(J8="","",IF(J8&gt;H10,"W",IF(J8&lt;H10,"L","D")))</f>
        <v/>
      </c>
      <c r="K8" s="23">
        <f>IF(K8="","",IF(K8&gt;H11,"W",IF(K8&lt;H11,"L","D")))</f>
        <v/>
      </c>
      <c r="L8" s="23">
        <f>IF(L8="","",IF(L8&gt;H12,"W",IF(L8&lt;H12,"L","D")))</f>
        <v/>
      </c>
      <c r="M8" s="23">
        <f>IF(M8="","",IF(M8&gt;H13,"W",IF(M8&lt;H13,"L","D")))</f>
        <v/>
      </c>
      <c r="N8" s="23">
        <f>IF(N8="","",IF(N8&gt;H14,"W",IF(N8&lt;H14,"L","D")))</f>
        <v/>
      </c>
      <c r="O8" s="23">
        <f>IF(O8="","",IF(O8&gt;H15,"W",IF(O8&lt;H15,"L","D")))</f>
        <v/>
      </c>
      <c r="P8" s="23">
        <f>IF(P8="","",IF(P8&gt;H16,"W",IF(P8&lt;H16,"L","D")))</f>
        <v/>
      </c>
      <c r="Q8" s="23">
        <f>IF(Q8="","",IF(Q8&gt;H17,"W",IF(Q8&lt;H17,"L","D")))</f>
        <v/>
      </c>
      <c r="R8" s="23">
        <f>IF(R8="","",IF(R8&gt;H18,"W",IF(R8&lt;H18,"L","D")))</f>
        <v/>
      </c>
      <c r="S8" s="23">
        <f>IF(S8="","",IF(S8&gt;H19,"W",IF(S8&lt;H19,"L","D")))</f>
        <v/>
      </c>
      <c r="T8" s="23">
        <f>IF(T8="","",IF(T8&gt;H20,"W",IF(T8&lt;H20,"L","D")))</f>
        <v/>
      </c>
      <c r="U8" s="23">
        <f>IF(U8="","",IF(U8&gt;H21,"W",IF(U8&lt;H21,"L","D")))</f>
        <v/>
      </c>
      <c r="V8" s="23">
        <f>IF(V8="","",IF(V8&gt;H22,"W",IF(V8&lt;H22,"L","D")))</f>
        <v/>
      </c>
      <c r="W8" s="23">
        <f>IF(W8="","",IF(W8&gt;H23,"W",IF(W8&lt;H23,"L","D")))</f>
        <v/>
      </c>
      <c r="X8" s="23">
        <f>IF(X8="","",IF(X8&gt;H24,"W",IF(X8&lt;H24,"L","D")))</f>
        <v/>
      </c>
      <c r="Y8" s="23">
        <f>IF(Y8="","",IF(Y8&gt;H25,"W",IF(Y8&lt;H25,"L","D")))</f>
        <v/>
      </c>
      <c r="Z8" s="23">
        <f>IF(Z8="","",IF(Z8&gt;H26,"W",IF(Z8&lt;H26,"L","D")))</f>
        <v/>
      </c>
      <c r="AA8" s="23">
        <f>IF(AA8="","",IF(AA8&gt;H27,"W",IF(AA8&lt;H27,"L","D")))</f>
        <v/>
      </c>
      <c r="AB8" s="23">
        <f>IF(AB8="","",IF(AB8&gt;H28,"W",IF(AB8&lt;H28,"L","D")))</f>
        <v/>
      </c>
      <c r="AC8" s="23">
        <f>IF(AC8="","",IF(AC8&gt;H29,"W",IF(AC8&lt;H29,"L","D")))</f>
        <v/>
      </c>
      <c r="AD8" s="23">
        <f>IF(AD8="","",IF(AD8&gt;H30,"W",IF(AD8&lt;H30,"L","D")))</f>
        <v/>
      </c>
      <c r="AE8" s="23">
        <f>IF(AE8="","",IF(AE8&gt;H31,"W",IF(AE8&lt;H31,"L","D")))</f>
        <v/>
      </c>
      <c r="AF8" s="23">
        <f>IF(AF8="","",IF(AF8&gt;H32,"W",IF(AF8&lt;H32,"L","D")))</f>
        <v/>
      </c>
      <c r="AG8" s="24">
        <f>SUM(C8:AF8)</f>
        <v/>
      </c>
      <c r="AH8" s="25">
        <f>SUMPRODUCT((I8&lt;&gt;"")*(I8&gt;=0)+(J8&lt;&gt;"")*(J8&gt;=0)+(K8&lt;&gt;"")*(K8&gt;=0)+(L8&lt;&gt;"")*(L8&gt;=0)+(M8&lt;&gt;"")*(M8&gt;=0)+(N8&lt;&gt;"")*(N8&gt;=0)+(O8&lt;&gt;"")*(O8&gt;=0)+(P8&lt;&gt;"")*(P8&gt;=0)+(Q8&lt;&gt;"")*(Q8&gt;=0)+(R8&lt;&gt;"")*(R8&gt;=0)+(S8&lt;&gt;"")*(S8&gt;=0)+(T8&lt;&gt;"")*(T8&gt;=0)+(U8&lt;&gt;"")*(U8&gt;=0)+(V8&lt;&gt;"")*(V8&gt;=0)+(W8&lt;&gt;"")*(W8&gt;=0)+(X8&lt;&gt;"")*(X8&gt;=0)+(Y8&lt;&gt;"")*(Y8&gt;=0)+(Z8&lt;&gt;"")*(Z8&gt;=0)+(AA8&lt;&gt;"")*(AA8&gt;=0)+(AB8&lt;&gt;"")*(AB8&gt;=0)+(AC8&lt;&gt;"")*(AC8&gt;=0)+(AD8&lt;&gt;"")*(AD8&gt;=0)+(AE8&lt;&gt;"")*(AE8&gt;=0)+(AF8&lt;&gt;"")*(AF8&gt;=0))</f>
        <v/>
      </c>
      <c r="AI8" s="26">
        <f>SUMPRODUCT((C8&lt;&gt;"")*(C8&gt;=0)+(D8&lt;&gt;"")*(D8&gt;=0)+(E8&lt;&gt;"")*(E8&gt;=0)+(F8&lt;&gt;"")*(F8&gt;=0)+(G8&lt;&gt;"")*(G8&gt;=0))</f>
        <v/>
      </c>
      <c r="AJ8" s="30">
        <f>COUNTIF(C8:AF8,"W")</f>
        <v/>
      </c>
      <c r="AK8" s="31">
        <f>COUNTIF(C8:AF8,"L")</f>
        <v/>
      </c>
      <c r="AL8" s="32">
        <f>COUNTIF(C8:AF8,"D")</f>
        <v/>
      </c>
      <c r="AM8" s="33">
        <f>AJ8+AK8+AL8</f>
        <v/>
      </c>
    </row>
    <row r="9" ht="19.5" customHeight="1" s="15">
      <c r="A9" s="20" t="n"/>
      <c r="B9" s="21" t="n">
        <v>7</v>
      </c>
      <c r="C9" s="27">
        <f>IF(C9="","",IF(C9&gt;I3,"W",IF(C9&lt;I3,"L","D")))</f>
        <v/>
      </c>
      <c r="D9" s="27">
        <f>IF(D9="","",IF(D9&gt;I4,"W",IF(D9&lt;I4,"L","D")))</f>
        <v/>
      </c>
      <c r="E9" s="27">
        <f>IF(E9="","",IF(E9&gt;I5,"W",IF(E9&lt;I5,"L","D")))</f>
        <v/>
      </c>
      <c r="F9" s="27">
        <f>IF(F9="","",IF(F9&gt;I6,"W",IF(F9&lt;I6,"L","D")))</f>
        <v/>
      </c>
      <c r="G9" s="27">
        <f>IF(G9="","",IF(G9&gt;I7,"W",IF(G9&lt;I7,"L","D")))</f>
        <v/>
      </c>
      <c r="H9" s="27">
        <f>IF(H9="","",IF(H9&gt;I8,"W",IF(H9&lt;I8,"L","D")))</f>
        <v/>
      </c>
      <c r="I9" s="22" t="n"/>
      <c r="J9" s="23">
        <f>IF(J9="","",IF(J9&gt;I10,"W",IF(J9&lt;I10,"L","D")))</f>
        <v/>
      </c>
      <c r="K9" s="23">
        <f>IF(K9="","",IF(K9&gt;I11,"W",IF(K9&lt;I11,"L","D")))</f>
        <v/>
      </c>
      <c r="L9" s="23">
        <f>IF(L9="","",IF(L9&gt;I12,"W",IF(L9&lt;I12,"L","D")))</f>
        <v/>
      </c>
      <c r="M9" s="23">
        <f>IF(M9="","",IF(M9&gt;I13,"W",IF(M9&lt;I13,"L","D")))</f>
        <v/>
      </c>
      <c r="N9" s="23">
        <f>IF(N9="","",IF(N9&gt;I14,"W",IF(N9&lt;I14,"L","D")))</f>
        <v/>
      </c>
      <c r="O9" s="23">
        <f>IF(O9="","",IF(O9&gt;I15,"W",IF(O9&lt;I15,"L","D")))</f>
        <v/>
      </c>
      <c r="P9" s="23">
        <f>IF(P9="","",IF(P9&gt;I16,"W",IF(P9&lt;I16,"L","D")))</f>
        <v/>
      </c>
      <c r="Q9" s="23">
        <f>IF(Q9="","",IF(Q9&gt;I17,"W",IF(Q9&lt;I17,"L","D")))</f>
        <v/>
      </c>
      <c r="R9" s="23">
        <f>IF(R9="","",IF(R9&gt;I18,"W",IF(R9&lt;I18,"L","D")))</f>
        <v/>
      </c>
      <c r="S9" s="23">
        <f>IF(S9="","",IF(S9&gt;I19,"W",IF(S9&lt;I19,"L","D")))</f>
        <v/>
      </c>
      <c r="T9" s="23">
        <f>IF(T9="","",IF(T9&gt;I20,"W",IF(T9&lt;I20,"L","D")))</f>
        <v/>
      </c>
      <c r="U9" s="23">
        <f>IF(U9="","",IF(U9&gt;I21,"W",IF(U9&lt;I21,"L","D")))</f>
        <v/>
      </c>
      <c r="V9" s="23">
        <f>IF(V9="","",IF(V9&gt;I22,"W",IF(V9&lt;I22,"L","D")))</f>
        <v/>
      </c>
      <c r="W9" s="23">
        <f>IF(W9="","",IF(W9&gt;I23,"W",IF(W9&lt;I23,"L","D")))</f>
        <v/>
      </c>
      <c r="X9" s="23">
        <f>IF(X9="","",IF(X9&gt;I24,"W",IF(X9&lt;I24,"L","D")))</f>
        <v/>
      </c>
      <c r="Y9" s="23">
        <f>IF(Y9="","",IF(Y9&gt;I25,"W",IF(Y9&lt;I25,"L","D")))</f>
        <v/>
      </c>
      <c r="Z9" s="23">
        <f>IF(Z9="","",IF(Z9&gt;I26,"W",IF(Z9&lt;I26,"L","D")))</f>
        <v/>
      </c>
      <c r="AA9" s="23">
        <f>IF(AA9="","",IF(AA9&gt;I27,"W",IF(AA9&lt;I27,"L","D")))</f>
        <v/>
      </c>
      <c r="AB9" s="23">
        <f>IF(AB9="","",IF(AB9&gt;I28,"W",IF(AB9&lt;I28,"L","D")))</f>
        <v/>
      </c>
      <c r="AC9" s="23">
        <f>IF(AC9="","",IF(AC9&gt;I29,"W",IF(AC9&lt;I29,"L","D")))</f>
        <v/>
      </c>
      <c r="AD9" s="23">
        <f>IF(AD9="","",IF(AD9&gt;I30,"W",IF(AD9&lt;I30,"L","D")))</f>
        <v/>
      </c>
      <c r="AE9" s="23">
        <f>IF(AE9="","",IF(AE9&gt;I31,"W",IF(AE9&lt;I31,"L","D")))</f>
        <v/>
      </c>
      <c r="AF9" s="23">
        <f>IF(AF9="","",IF(AF9&gt;I32,"W",IF(AF9&lt;I32,"L","D")))</f>
        <v/>
      </c>
      <c r="AG9" s="24">
        <f>SUM(C9:AF9)</f>
        <v/>
      </c>
      <c r="AH9" s="25">
        <f>SUMPRODUCT((J9&lt;&gt;"")*(J9&gt;=0)+(K9&lt;&gt;"")*(K9&gt;=0)+(L9&lt;&gt;"")*(L9&gt;=0)+(M9&lt;&gt;"")*(M9&gt;=0)+(N9&lt;&gt;"")*(N9&gt;=0)+(O9&lt;&gt;"")*(O9&gt;=0)+(P9&lt;&gt;"")*(P9&gt;=0)+(Q9&lt;&gt;"")*(Q9&gt;=0)+(R9&lt;&gt;"")*(R9&gt;=0)+(S9&lt;&gt;"")*(S9&gt;=0)+(T9&lt;&gt;"")*(T9&gt;=0)+(U9&lt;&gt;"")*(U9&gt;=0)+(V9&lt;&gt;"")*(V9&gt;=0)+(W9&lt;&gt;"")*(W9&gt;=0)+(X9&lt;&gt;"")*(X9&gt;=0)+(Y9&lt;&gt;"")*(Y9&gt;=0)+(Z9&lt;&gt;"")*(Z9&gt;=0)+(AA9&lt;&gt;"")*(AA9&gt;=0)+(AB9&lt;&gt;"")*(AB9&gt;=0)+(AC9&lt;&gt;"")*(AC9&gt;=0)+(AD9&lt;&gt;"")*(AD9&gt;=0)+(AE9&lt;&gt;"")*(AE9&gt;=0)+(AF9&lt;&gt;"")*(AF9&gt;=0))</f>
        <v/>
      </c>
      <c r="AI9" s="26">
        <f>SUMPRODUCT((C9&lt;&gt;"")*(C9&gt;=0)+(D9&lt;&gt;"")*(D9&gt;=0)+(E9&lt;&gt;"")*(E9&gt;=0)+(F9&lt;&gt;"")*(F9&gt;=0)+(G9&lt;&gt;"")*(G9&gt;=0)+(H9&lt;&gt;"")*(H9&gt;=0))</f>
        <v/>
      </c>
      <c r="AJ9" s="30">
        <f>COUNTIF(C9:AF9,"W")</f>
        <v/>
      </c>
      <c r="AK9" s="31">
        <f>COUNTIF(C9:AF9,"L")</f>
        <v/>
      </c>
      <c r="AL9" s="32">
        <f>COUNTIF(C9:AF9,"D")</f>
        <v/>
      </c>
      <c r="AM9" s="33">
        <f>AJ9+AK9+AL9</f>
        <v/>
      </c>
    </row>
    <row r="10" ht="19.5" customHeight="1" s="15">
      <c r="A10" s="20" t="n"/>
      <c r="B10" s="21" t="n">
        <v>8</v>
      </c>
      <c r="C10" s="27">
        <f>IF(C10="","",IF(C10&gt;J3,"W",IF(C10&lt;J3,"L","D")))</f>
        <v/>
      </c>
      <c r="D10" s="27">
        <f>IF(D10="","",IF(D10&gt;J4,"W",IF(D10&lt;J4,"L","D")))</f>
        <v/>
      </c>
      <c r="E10" s="27">
        <f>IF(E10="","",IF(E10&gt;J5,"W",IF(E10&lt;J5,"L","D")))</f>
        <v/>
      </c>
      <c r="F10" s="27">
        <f>IF(F10="","",IF(F10&gt;J6,"W",IF(F10&lt;J6,"L","D")))</f>
        <v/>
      </c>
      <c r="G10" s="27">
        <f>IF(G10="","",IF(G10&gt;J7,"W",IF(G10&lt;J7,"L","D")))</f>
        <v/>
      </c>
      <c r="H10" s="27">
        <f>IF(H10="","",IF(H10&gt;J8,"W",IF(H10&lt;J8,"L","D")))</f>
        <v/>
      </c>
      <c r="I10" s="27">
        <f>IF(I10="","",IF(I10&gt;J9,"W",IF(I10&lt;J9,"L","D")))</f>
        <v/>
      </c>
      <c r="J10" s="22" t="n"/>
      <c r="K10" s="23">
        <f>IF(K10="","",IF(K10&gt;J11,"W",IF(K10&lt;J11,"L","D")))</f>
        <v/>
      </c>
      <c r="L10" s="23">
        <f>IF(L10="","",IF(L10&gt;J12,"W",IF(L10&lt;J12,"L","D")))</f>
        <v/>
      </c>
      <c r="M10" s="23">
        <f>IF(M10="","",IF(M10&gt;J13,"W",IF(M10&lt;J13,"L","D")))</f>
        <v/>
      </c>
      <c r="N10" s="23">
        <f>IF(N10="","",IF(N10&gt;J14,"W",IF(N10&lt;J14,"L","D")))</f>
        <v/>
      </c>
      <c r="O10" s="23">
        <f>IF(O10="","",IF(O10&gt;J15,"W",IF(O10&lt;J15,"L","D")))</f>
        <v/>
      </c>
      <c r="P10" s="23">
        <f>IF(P10="","",IF(P10&gt;J16,"W",IF(P10&lt;J16,"L","D")))</f>
        <v/>
      </c>
      <c r="Q10" s="23">
        <f>IF(Q10="","",IF(Q10&gt;J17,"W",IF(Q10&lt;J17,"L","D")))</f>
        <v/>
      </c>
      <c r="R10" s="23">
        <f>IF(R10="","",IF(R10&gt;J18,"W",IF(R10&lt;J18,"L","D")))</f>
        <v/>
      </c>
      <c r="S10" s="23">
        <f>IF(S10="","",IF(S10&gt;J19,"W",IF(S10&lt;J19,"L","D")))</f>
        <v/>
      </c>
      <c r="T10" s="23">
        <f>IF(T10="","",IF(T10&gt;J20,"W",IF(T10&lt;J20,"L","D")))</f>
        <v/>
      </c>
      <c r="U10" s="23">
        <f>IF(U10="","",IF(U10&gt;J21,"W",IF(U10&lt;J21,"L","D")))</f>
        <v/>
      </c>
      <c r="V10" s="23">
        <f>IF(V10="","",IF(V10&gt;J22,"W",IF(V10&lt;J22,"L","D")))</f>
        <v/>
      </c>
      <c r="W10" s="23">
        <f>IF(W10="","",IF(W10&gt;J23,"W",IF(W10&lt;J23,"L","D")))</f>
        <v/>
      </c>
      <c r="X10" s="23">
        <f>IF(X10="","",IF(X10&gt;J24,"W",IF(X10&lt;J24,"L","D")))</f>
        <v/>
      </c>
      <c r="Y10" s="23">
        <f>IF(Y10="","",IF(Y10&gt;J25,"W",IF(Y10&lt;J25,"L","D")))</f>
        <v/>
      </c>
      <c r="Z10" s="23">
        <f>IF(Z10="","",IF(Z10&gt;J26,"W",IF(Z10&lt;J26,"L","D")))</f>
        <v/>
      </c>
      <c r="AA10" s="23">
        <f>IF(AA10="","",IF(AA10&gt;J27,"W",IF(AA10&lt;J27,"L","D")))</f>
        <v/>
      </c>
      <c r="AB10" s="23">
        <f>IF(AB10="","",IF(AB10&gt;J28,"W",IF(AB10&lt;J28,"L","D")))</f>
        <v/>
      </c>
      <c r="AC10" s="23">
        <f>IF(AC10="","",IF(AC10&gt;J29,"W",IF(AC10&lt;J29,"L","D")))</f>
        <v/>
      </c>
      <c r="AD10" s="23">
        <f>IF(AD10="","",IF(AD10&gt;J30,"W",IF(AD10&lt;J30,"L","D")))</f>
        <v/>
      </c>
      <c r="AE10" s="23">
        <f>IF(AE10="","",IF(AE10&gt;J31,"W",IF(AE10&lt;J31,"L","D")))</f>
        <v/>
      </c>
      <c r="AF10" s="23">
        <f>IF(AF10="","",IF(AF10&gt;J32,"W",IF(AF10&lt;J32,"L","D")))</f>
        <v/>
      </c>
      <c r="AG10" s="24">
        <f>SUM(C10:AF10)</f>
        <v/>
      </c>
      <c r="AH10" s="25">
        <f>SUMPRODUCT((K10&lt;&gt;"")*(K10&gt;=0)+(L10&lt;&gt;"")*(L10&gt;=0)+(M10&lt;&gt;"")*(M10&gt;=0)+(N10&lt;&gt;"")*(N10&gt;=0)+(O10&lt;&gt;"")*(O10&gt;=0)+(P10&lt;&gt;"")*(P10&gt;=0)+(Q10&lt;&gt;"")*(Q10&gt;=0)+(R10&lt;&gt;"")*(R10&gt;=0)+(S10&lt;&gt;"")*(S10&gt;=0)+(T10&lt;&gt;"")*(T10&gt;=0)+(U10&lt;&gt;"")*(U10&gt;=0)+(V10&lt;&gt;"")*(V10&gt;=0)+(W10&lt;&gt;"")*(W10&gt;=0)+(X10&lt;&gt;"")*(X10&gt;=0)+(Y10&lt;&gt;"")*(Y10&gt;=0)+(Z10&lt;&gt;"")*(Z10&gt;=0)+(AA10&lt;&gt;"")*(AA10&gt;=0)+(AB10&lt;&gt;"")*(AB10&gt;=0)+(AC10&lt;&gt;"")*(AC10&gt;=0)+(AD10&lt;&gt;"")*(AD10&gt;=0)+(AE10&lt;&gt;"")*(AE10&gt;=0)+(AF10&lt;&gt;"")*(AF10&gt;=0))</f>
        <v/>
      </c>
      <c r="AI10" s="26">
        <f>SUMPRODUCT((C10&lt;&gt;"")*(C10&gt;=0)+(D10&lt;&gt;"")*(D10&gt;=0)+(E10&lt;&gt;"")*(E10&gt;=0)+(F10&lt;&gt;"")*(F10&gt;=0)+(G10&lt;&gt;"")*(G10&gt;=0)+(H10&lt;&gt;"")*(H10&gt;=0)+(I10&lt;&gt;"")*(I10&gt;=0))</f>
        <v/>
      </c>
      <c r="AJ10" s="30">
        <f>COUNTIF(C10:AF10,"W")</f>
        <v/>
      </c>
      <c r="AK10" s="31">
        <f>COUNTIF(C10:AF10,"L")</f>
        <v/>
      </c>
      <c r="AL10" s="32">
        <f>COUNTIF(C10:AF10,"D")</f>
        <v/>
      </c>
      <c r="AM10" s="33">
        <f>AJ10+AK10+AL10</f>
        <v/>
      </c>
    </row>
    <row r="11" ht="19.5" customHeight="1" s="15">
      <c r="A11" s="20" t="n"/>
      <c r="B11" s="21" t="n">
        <v>9</v>
      </c>
      <c r="C11" s="27">
        <f>IF(C11="","",IF(C11&gt;K3,"W",IF(C11&lt;K3,"L","D")))</f>
        <v/>
      </c>
      <c r="D11" s="27">
        <f>IF(D11="","",IF(D11&gt;K4,"W",IF(D11&lt;K4,"L","D")))</f>
        <v/>
      </c>
      <c r="E11" s="27">
        <f>IF(E11="","",IF(E11&gt;K5,"W",IF(E11&lt;K5,"L","D")))</f>
        <v/>
      </c>
      <c r="F11" s="27">
        <f>IF(F11="","",IF(F11&gt;K6,"W",IF(F11&lt;K6,"L","D")))</f>
        <v/>
      </c>
      <c r="G11" s="27">
        <f>IF(G11="","",IF(G11&gt;K7,"W",IF(G11&lt;K7,"L","D")))</f>
        <v/>
      </c>
      <c r="H11" s="27">
        <f>IF(H11="","",IF(H11&gt;K8,"W",IF(H11&lt;K8,"L","D")))</f>
        <v/>
      </c>
      <c r="I11" s="27">
        <f>IF(I11="","",IF(I11&gt;K9,"W",IF(I11&lt;K9,"L","D")))</f>
        <v/>
      </c>
      <c r="J11" s="27">
        <f>IF(J11="","",IF(J11&gt;K10,"W",IF(J11&lt;K10,"L","D")))</f>
        <v/>
      </c>
      <c r="K11" s="22" t="n"/>
      <c r="L11" s="23">
        <f>IF(L11="","",IF(L11&gt;K12,"W",IF(L11&lt;K12,"L","D")))</f>
        <v/>
      </c>
      <c r="M11" s="23">
        <f>IF(M11="","",IF(M11&gt;K13,"W",IF(M11&lt;K13,"L","D")))</f>
        <v/>
      </c>
      <c r="N11" s="23">
        <f>IF(N11="","",IF(N11&gt;K14,"W",IF(N11&lt;K14,"L","D")))</f>
        <v/>
      </c>
      <c r="O11" s="23">
        <f>IF(O11="","",IF(O11&gt;K15,"W",IF(O11&lt;K15,"L","D")))</f>
        <v/>
      </c>
      <c r="P11" s="23">
        <f>IF(P11="","",IF(P11&gt;K16,"W",IF(P11&lt;K16,"L","D")))</f>
        <v/>
      </c>
      <c r="Q11" s="23">
        <f>IF(Q11="","",IF(Q11&gt;K17,"W",IF(Q11&lt;K17,"L","D")))</f>
        <v/>
      </c>
      <c r="R11" s="23">
        <f>IF(R11="","",IF(R11&gt;K18,"W",IF(R11&lt;K18,"L","D")))</f>
        <v/>
      </c>
      <c r="S11" s="23">
        <f>IF(S11="","",IF(S11&gt;K19,"W",IF(S11&lt;K19,"L","D")))</f>
        <v/>
      </c>
      <c r="T11" s="23">
        <f>IF(T11="","",IF(T11&gt;K20,"W",IF(T11&lt;K20,"L","D")))</f>
        <v/>
      </c>
      <c r="U11" s="23">
        <f>IF(U11="","",IF(U11&gt;K21,"W",IF(U11&lt;K21,"L","D")))</f>
        <v/>
      </c>
      <c r="V11" s="23">
        <f>IF(V11="","",IF(V11&gt;K22,"W",IF(V11&lt;K22,"L","D")))</f>
        <v/>
      </c>
      <c r="W11" s="23">
        <f>IF(W11="","",IF(W11&gt;K23,"W",IF(W11&lt;K23,"L","D")))</f>
        <v/>
      </c>
      <c r="X11" s="23">
        <f>IF(X11="","",IF(X11&gt;K24,"W",IF(X11&lt;K24,"L","D")))</f>
        <v/>
      </c>
      <c r="Y11" s="23">
        <f>IF(Y11="","",IF(Y11&gt;K25,"W",IF(Y11&lt;K25,"L","D")))</f>
        <v/>
      </c>
      <c r="Z11" s="23">
        <f>IF(Z11="","",IF(Z11&gt;K26,"W",IF(Z11&lt;K26,"L","D")))</f>
        <v/>
      </c>
      <c r="AA11" s="23">
        <f>IF(AA11="","",IF(AA11&gt;K27,"W",IF(AA11&lt;K27,"L","D")))</f>
        <v/>
      </c>
      <c r="AB11" s="23">
        <f>IF(AB11="","",IF(AB11&gt;K28,"W",IF(AB11&lt;K28,"L","D")))</f>
        <v/>
      </c>
      <c r="AC11" s="23">
        <f>IF(AC11="","",IF(AC11&gt;K29,"W",IF(AC11&lt;K29,"L","D")))</f>
        <v/>
      </c>
      <c r="AD11" s="23">
        <f>IF(AD11="","",IF(AD11&gt;K30,"W",IF(AD11&lt;K30,"L","D")))</f>
        <v/>
      </c>
      <c r="AE11" s="23">
        <f>IF(AE11="","",IF(AE11&gt;K31,"W",IF(AE11&lt;K31,"L","D")))</f>
        <v/>
      </c>
      <c r="AF11" s="23">
        <f>IF(AF11="","",IF(AF11&gt;K32,"W",IF(AF11&lt;K32,"L","D")))</f>
        <v/>
      </c>
      <c r="AG11" s="24">
        <f>SUM(C11:AF11)</f>
        <v/>
      </c>
      <c r="AH11" s="25">
        <f>SUMPRODUCT((L11&lt;&gt;"")*(L11&gt;=0)+(M11&lt;&gt;"")*(M11&gt;=0)+(N11&lt;&gt;"")*(N11&gt;=0)+(O11&lt;&gt;"")*(O11&gt;=0)+(P11&lt;&gt;"")*(P11&gt;=0)+(Q11&lt;&gt;"")*(Q11&gt;=0)+(R11&lt;&gt;"")*(R11&gt;=0)+(S11&lt;&gt;"")*(S11&gt;=0)+(T11&lt;&gt;"")*(T11&gt;=0)+(U11&lt;&gt;"")*(U11&gt;=0)+(V11&lt;&gt;"")*(V11&gt;=0)+(W11&lt;&gt;"")*(W11&gt;=0)+(X11&lt;&gt;"")*(X11&gt;=0)+(Y11&lt;&gt;"")*(Y11&gt;=0)+(Z11&lt;&gt;"")*(Z11&gt;=0)+(AA11&lt;&gt;"")*(AA11&gt;=0)+(AB11&lt;&gt;"")*(AB11&gt;=0)+(AC11&lt;&gt;"")*(AC11&gt;=0)+(AD11&lt;&gt;"")*(AD11&gt;=0)+(AE11&lt;&gt;"")*(AE11&gt;=0)+(AF11&lt;&gt;"")*(AF11&gt;=0))</f>
        <v/>
      </c>
      <c r="AI11" s="26">
        <f>SUMPRODUCT((C11&lt;&gt;"")*(C11&gt;=0)+(D11&lt;&gt;"")*(D11&gt;=0)+(E11&lt;&gt;"")*(E11&gt;=0)+(F11&lt;&gt;"")*(F11&gt;=0)+(G11&lt;&gt;"")*(G11&gt;=0)+(H11&lt;&gt;"")*(H11&gt;=0)+(I11&lt;&gt;"")*(I11&gt;=0)+(J11&lt;&gt;"")*(J11&gt;=0))</f>
        <v/>
      </c>
      <c r="AJ11" s="30">
        <f>COUNTIF(C11:AF11,"W")</f>
        <v/>
      </c>
      <c r="AK11" s="31">
        <f>COUNTIF(C11:AF11,"L")</f>
        <v/>
      </c>
      <c r="AL11" s="32">
        <f>COUNTIF(C11:AF11,"D")</f>
        <v/>
      </c>
      <c r="AM11" s="33">
        <f>AJ11+AK11+AL11</f>
        <v/>
      </c>
    </row>
    <row r="12" ht="19.5" customHeight="1" s="15">
      <c r="A12" s="20" t="n"/>
      <c r="B12" s="21" t="n">
        <v>10</v>
      </c>
      <c r="C12" s="27">
        <f>IF(C12="","",IF(C12&gt;L3,"W",IF(C12&lt;L3,"L","D")))</f>
        <v/>
      </c>
      <c r="D12" s="27">
        <f>IF(D12="","",IF(D12&gt;L4,"W",IF(D12&lt;L4,"L","D")))</f>
        <v/>
      </c>
      <c r="E12" s="27">
        <f>IF(E12="","",IF(E12&gt;L5,"W",IF(E12&lt;L5,"L","D")))</f>
        <v/>
      </c>
      <c r="F12" s="27">
        <f>IF(F12="","",IF(F12&gt;L6,"W",IF(F12&lt;L6,"L","D")))</f>
        <v/>
      </c>
      <c r="G12" s="27">
        <f>IF(G12="","",IF(G12&gt;L7,"W",IF(G12&lt;L7,"L","D")))</f>
        <v/>
      </c>
      <c r="H12" s="27">
        <f>IF(H12="","",IF(H12&gt;L8,"W",IF(H12&lt;L8,"L","D")))</f>
        <v/>
      </c>
      <c r="I12" s="27">
        <f>IF(I12="","",IF(I12&gt;L9,"W",IF(I12&lt;L9,"L","D")))</f>
        <v/>
      </c>
      <c r="J12" s="27">
        <f>IF(J12="","",IF(J12&gt;L10,"W",IF(J12&lt;L10,"L","D")))</f>
        <v/>
      </c>
      <c r="K12" s="27">
        <f>IF(K12="","",IF(K12&gt;L11,"W",IF(K12&lt;L11,"L","D")))</f>
        <v/>
      </c>
      <c r="L12" s="22" t="n"/>
      <c r="M12" s="23">
        <f>IF(M12="","",IF(M12&gt;L13,"W",IF(M12&lt;L13,"L","D")))</f>
        <v/>
      </c>
      <c r="N12" s="23">
        <f>IF(N12="","",IF(N12&gt;L14,"W",IF(N12&lt;L14,"L","D")))</f>
        <v/>
      </c>
      <c r="O12" s="23">
        <f>IF(O12="","",IF(O12&gt;L15,"W",IF(O12&lt;L15,"L","D")))</f>
        <v/>
      </c>
      <c r="P12" s="23">
        <f>IF(P12="","",IF(P12&gt;L16,"W",IF(P12&lt;L16,"L","D")))</f>
        <v/>
      </c>
      <c r="Q12" s="23">
        <f>IF(Q12="","",IF(Q12&gt;L17,"W",IF(Q12&lt;L17,"L","D")))</f>
        <v/>
      </c>
      <c r="R12" s="23">
        <f>IF(R12="","",IF(R12&gt;L18,"W",IF(R12&lt;L18,"L","D")))</f>
        <v/>
      </c>
      <c r="S12" s="23">
        <f>IF(S12="","",IF(S12&gt;L19,"W",IF(S12&lt;L19,"L","D")))</f>
        <v/>
      </c>
      <c r="T12" s="23">
        <f>IF(T12="","",IF(T12&gt;L20,"W",IF(T12&lt;L20,"L","D")))</f>
        <v/>
      </c>
      <c r="U12" s="23">
        <f>IF(U12="","",IF(U12&gt;L21,"W",IF(U12&lt;L21,"L","D")))</f>
        <v/>
      </c>
      <c r="V12" s="23">
        <f>IF(V12="","",IF(V12&gt;L22,"W",IF(V12&lt;L22,"L","D")))</f>
        <v/>
      </c>
      <c r="W12" s="23">
        <f>IF(W12="","",IF(W12&gt;L23,"W",IF(W12&lt;L23,"L","D")))</f>
        <v/>
      </c>
      <c r="X12" s="23">
        <f>IF(X12="","",IF(X12&gt;L24,"W",IF(X12&lt;L24,"L","D")))</f>
        <v/>
      </c>
      <c r="Y12" s="23">
        <f>IF(Y12="","",IF(Y12&gt;L25,"W",IF(Y12&lt;L25,"L","D")))</f>
        <v/>
      </c>
      <c r="Z12" s="23">
        <f>IF(Z12="","",IF(Z12&gt;L26,"W",IF(Z12&lt;L26,"L","D")))</f>
        <v/>
      </c>
      <c r="AA12" s="23">
        <f>IF(AA12="","",IF(AA12&gt;L27,"W",IF(AA12&lt;L27,"L","D")))</f>
        <v/>
      </c>
      <c r="AB12" s="23">
        <f>IF(AB12="","",IF(AB12&gt;L28,"W",IF(AB12&lt;L28,"L","D")))</f>
        <v/>
      </c>
      <c r="AC12" s="23">
        <f>IF(AC12="","",IF(AC12&gt;L29,"W",IF(AC12&lt;L29,"L","D")))</f>
        <v/>
      </c>
      <c r="AD12" s="23">
        <f>IF(AD12="","",IF(AD12&gt;L30,"W",IF(AD12&lt;L30,"L","D")))</f>
        <v/>
      </c>
      <c r="AE12" s="23">
        <f>IF(AE12="","",IF(AE12&gt;L31,"W",IF(AE12&lt;L31,"L","D")))</f>
        <v/>
      </c>
      <c r="AF12" s="23">
        <f>IF(AF12="","",IF(AF12&gt;L32,"W",IF(AF12&lt;L32,"L","D")))</f>
        <v/>
      </c>
      <c r="AG12" s="24">
        <f>SUM(C12:AF12)</f>
        <v/>
      </c>
      <c r="AH12" s="25">
        <f>SUMPRODUCT((M12&lt;&gt;"")*(M12&gt;=0)+(N12&lt;&gt;"")*(N12&gt;=0)+(O12&lt;&gt;"")*(O12&gt;=0)+(P12&lt;&gt;"")*(P12&gt;=0)+(Q12&lt;&gt;"")*(Q12&gt;=0)+(R12&lt;&gt;"")*(R12&gt;=0)+(S12&lt;&gt;"")*(S12&gt;=0)+(T12&lt;&gt;"")*(T12&gt;=0)+(U12&lt;&gt;"")*(U12&gt;=0)+(V12&lt;&gt;"")*(V12&gt;=0)+(W12&lt;&gt;"")*(W12&gt;=0)+(X12&lt;&gt;"")*(X12&gt;=0)+(Y12&lt;&gt;"")*(Y12&gt;=0)+(Z12&lt;&gt;"")*(Z12&gt;=0)+(AA12&lt;&gt;"")*(AA12&gt;=0)+(AB12&lt;&gt;"")*(AB12&gt;=0)+(AC12&lt;&gt;"")*(AC12&gt;=0)+(AD12&lt;&gt;"")*(AD12&gt;=0)+(AE12&lt;&gt;"")*(AE12&gt;=0)+(AF12&lt;&gt;"")*(AF12&gt;=0))</f>
        <v/>
      </c>
      <c r="AI12" s="26">
        <f>SUMPRODUCT((C12&lt;&gt;"")*(C12&gt;=0)+(D12&lt;&gt;"")*(D12&gt;=0)+(E12&lt;&gt;"")*(E12&gt;=0)+(F12&lt;&gt;"")*(F12&gt;=0)+(G12&lt;&gt;"")*(G12&gt;=0)+(H12&lt;&gt;"")*(H12&gt;=0)+(I12&lt;&gt;"")*(I12&gt;=0)+(J12&lt;&gt;"")*(J12&gt;=0)+(K12&lt;&gt;"")*(K12&gt;=0))</f>
        <v/>
      </c>
      <c r="AJ12" s="30">
        <f>COUNTIF(C12:AF12,"W")</f>
        <v/>
      </c>
      <c r="AK12" s="31">
        <f>COUNTIF(C12:AF12,"L")</f>
        <v/>
      </c>
      <c r="AL12" s="32">
        <f>COUNTIF(C12:AF12,"D")</f>
        <v/>
      </c>
      <c r="AM12" s="33">
        <f>AJ12+AK12+AL12</f>
        <v/>
      </c>
    </row>
    <row r="13" ht="19.5" customHeight="1" s="15">
      <c r="A13" s="20" t="n"/>
      <c r="B13" s="21" t="n">
        <v>11</v>
      </c>
      <c r="C13" s="27">
        <f>IF(C13="","",IF(C13&gt;M3,"W",IF(C13&lt;M3,"L","D")))</f>
        <v/>
      </c>
      <c r="D13" s="27">
        <f>IF(D13="","",IF(D13&gt;M4,"W",IF(D13&lt;M4,"L","D")))</f>
        <v/>
      </c>
      <c r="E13" s="27">
        <f>IF(E13="","",IF(E13&gt;M5,"W",IF(E13&lt;M5,"L","D")))</f>
        <v/>
      </c>
      <c r="F13" s="27">
        <f>IF(F13="","",IF(F13&gt;M6,"W",IF(F13&lt;M6,"L","D")))</f>
        <v/>
      </c>
      <c r="G13" s="27">
        <f>IF(G13="","",IF(G13&gt;M7,"W",IF(G13&lt;M7,"L","D")))</f>
        <v/>
      </c>
      <c r="H13" s="27">
        <f>IF(H13="","",IF(H13&gt;M8,"W",IF(H13&lt;M8,"L","D")))</f>
        <v/>
      </c>
      <c r="I13" s="27">
        <f>IF(I13="","",IF(I13&gt;M9,"W",IF(I13&lt;M9,"L","D")))</f>
        <v/>
      </c>
      <c r="J13" s="27">
        <f>IF(J13="","",IF(J13&gt;M10,"W",IF(J13&lt;M10,"L","D")))</f>
        <v/>
      </c>
      <c r="K13" s="27">
        <f>IF(K13="","",IF(K13&gt;M11,"W",IF(K13&lt;M11,"L","D")))</f>
        <v/>
      </c>
      <c r="L13" s="27">
        <f>IF(L13="","",IF(L13&gt;M12,"W",IF(L13&lt;M12,"L","D")))</f>
        <v/>
      </c>
      <c r="M13" s="22" t="n"/>
      <c r="N13" s="23">
        <f>IF(N13="","",IF(N13&gt;M14,"W",IF(N13&lt;M14,"L","D")))</f>
        <v/>
      </c>
      <c r="O13" s="23">
        <f>IF(O13="","",IF(O13&gt;M15,"W",IF(O13&lt;M15,"L","D")))</f>
        <v/>
      </c>
      <c r="P13" s="23">
        <f>IF(P13="","",IF(P13&gt;M16,"W",IF(P13&lt;M16,"L","D")))</f>
        <v/>
      </c>
      <c r="Q13" s="23">
        <f>IF(Q13="","",IF(Q13&gt;M17,"W",IF(Q13&lt;M17,"L","D")))</f>
        <v/>
      </c>
      <c r="R13" s="23">
        <f>IF(R13="","",IF(R13&gt;M18,"W",IF(R13&lt;M18,"L","D")))</f>
        <v/>
      </c>
      <c r="S13" s="23">
        <f>IF(S13="","",IF(S13&gt;M19,"W",IF(S13&lt;M19,"L","D")))</f>
        <v/>
      </c>
      <c r="T13" s="23">
        <f>IF(T13="","",IF(T13&gt;M20,"W",IF(T13&lt;M20,"L","D")))</f>
        <v/>
      </c>
      <c r="U13" s="23">
        <f>IF(U13="","",IF(U13&gt;M21,"W",IF(U13&lt;M21,"L","D")))</f>
        <v/>
      </c>
      <c r="V13" s="23">
        <f>IF(V13="","",IF(V13&gt;M22,"W",IF(V13&lt;M22,"L","D")))</f>
        <v/>
      </c>
      <c r="W13" s="23">
        <f>IF(W13="","",IF(W13&gt;M23,"W",IF(W13&lt;M23,"L","D")))</f>
        <v/>
      </c>
      <c r="X13" s="23">
        <f>IF(X13="","",IF(X13&gt;M24,"W",IF(X13&lt;M24,"L","D")))</f>
        <v/>
      </c>
      <c r="Y13" s="23">
        <f>IF(Y13="","",IF(Y13&gt;M25,"W",IF(Y13&lt;M25,"L","D")))</f>
        <v/>
      </c>
      <c r="Z13" s="23">
        <f>IF(Z13="","",IF(Z13&gt;M26,"W",IF(Z13&lt;M26,"L","D")))</f>
        <v/>
      </c>
      <c r="AA13" s="23">
        <f>IF(AA13="","",IF(AA13&gt;M27,"W",IF(AA13&lt;M27,"L","D")))</f>
        <v/>
      </c>
      <c r="AB13" s="23">
        <f>IF(AB13="","",IF(AB13&gt;M28,"W",IF(AB13&lt;M28,"L","D")))</f>
        <v/>
      </c>
      <c r="AC13" s="23">
        <f>IF(AC13="","",IF(AC13&gt;M29,"W",IF(AC13&lt;M29,"L","D")))</f>
        <v/>
      </c>
      <c r="AD13" s="23">
        <f>IF(AD13="","",IF(AD13&gt;M30,"W",IF(AD13&lt;M30,"L","D")))</f>
        <v/>
      </c>
      <c r="AE13" s="23">
        <f>IF(AE13="","",IF(AE13&gt;M31,"W",IF(AE13&lt;M31,"L","D")))</f>
        <v/>
      </c>
      <c r="AF13" s="23">
        <f>IF(AF13="","",IF(AF13&gt;M32,"W",IF(AF13&lt;M32,"L","D")))</f>
        <v/>
      </c>
      <c r="AG13" s="24">
        <f>SUM(C13:AF13)</f>
        <v/>
      </c>
      <c r="AH13" s="25">
        <f>SUMPRODUCT((N13&lt;&gt;"")*(N13&gt;=0)+(O13&lt;&gt;"")*(O13&gt;=0)+(P13&lt;&gt;"")*(P13&gt;=0)+(Q13&lt;&gt;"")*(Q13&gt;=0)+(R13&lt;&gt;"")*(R13&gt;=0)+(S13&lt;&gt;"")*(S13&gt;=0)+(T13&lt;&gt;"")*(T13&gt;=0)+(U13&lt;&gt;"")*(U13&gt;=0)+(V13&lt;&gt;"")*(V13&gt;=0)+(W13&lt;&gt;"")*(W13&gt;=0)+(X13&lt;&gt;"")*(X13&gt;=0)+(Y13&lt;&gt;"")*(Y13&gt;=0)+(Z13&lt;&gt;"")*(Z13&gt;=0)+(AA13&lt;&gt;"")*(AA13&gt;=0)+(AB13&lt;&gt;"")*(AB13&gt;=0)+(AC13&lt;&gt;"")*(AC13&gt;=0)+(AD13&lt;&gt;"")*(AD13&gt;=0)+(AE13&lt;&gt;"")*(AE13&gt;=0)+(AF13&lt;&gt;"")*(AF13&gt;=0))</f>
        <v/>
      </c>
      <c r="AI13" s="26">
        <f>SUMPRODUCT((C13&lt;&gt;"")*(C13&gt;=0)+(D13&lt;&gt;"")*(D13&gt;=0)+(E13&lt;&gt;"")*(E13&gt;=0)+(F13&lt;&gt;"")*(F13&gt;=0)+(G13&lt;&gt;"")*(G13&gt;=0)+(H13&lt;&gt;"")*(H13&gt;=0)+(I13&lt;&gt;"")*(I13&gt;=0)+(J13&lt;&gt;"")*(J13&gt;=0)+(K13&lt;&gt;"")*(K13&gt;=0)+(L13&lt;&gt;"")*(L13&gt;=0))</f>
        <v/>
      </c>
      <c r="AJ13" s="30">
        <f>COUNTIF(C13:AF13,"W")</f>
        <v/>
      </c>
      <c r="AK13" s="31">
        <f>COUNTIF(C13:AF13,"L")</f>
        <v/>
      </c>
      <c r="AL13" s="32">
        <f>COUNTIF(C13:AF13,"D")</f>
        <v/>
      </c>
      <c r="AM13" s="33">
        <f>AJ13+AK13+AL13</f>
        <v/>
      </c>
    </row>
    <row r="14" ht="19.5" customHeight="1" s="15">
      <c r="A14" s="20" t="n"/>
      <c r="B14" s="21" t="n">
        <v>12</v>
      </c>
      <c r="C14" s="27">
        <f>IF(C14="","",IF(C14&gt;N3,"W",IF(C14&lt;N3,"L","D")))</f>
        <v/>
      </c>
      <c r="D14" s="27">
        <f>IF(D14="","",IF(D14&gt;N4,"W",IF(D14&lt;N4,"L","D")))</f>
        <v/>
      </c>
      <c r="E14" s="27">
        <f>IF(E14="","",IF(E14&gt;N5,"W",IF(E14&lt;N5,"L","D")))</f>
        <v/>
      </c>
      <c r="F14" s="27">
        <f>IF(F14="","",IF(F14&gt;N6,"W",IF(F14&lt;N6,"L","D")))</f>
        <v/>
      </c>
      <c r="G14" s="27">
        <f>IF(G14="","",IF(G14&gt;N7,"W",IF(G14&lt;N7,"L","D")))</f>
        <v/>
      </c>
      <c r="H14" s="27">
        <f>IF(H14="","",IF(H14&gt;N8,"W",IF(H14&lt;N8,"L","D")))</f>
        <v/>
      </c>
      <c r="I14" s="27">
        <f>IF(I14="","",IF(I14&gt;N9,"W",IF(I14&lt;N9,"L","D")))</f>
        <v/>
      </c>
      <c r="J14" s="27">
        <f>IF(J14="","",IF(J14&gt;N10,"W",IF(J14&lt;N10,"L","D")))</f>
        <v/>
      </c>
      <c r="K14" s="27">
        <f>IF(K14="","",IF(K14&gt;N11,"W",IF(K14&lt;N11,"L","D")))</f>
        <v/>
      </c>
      <c r="L14" s="27">
        <f>IF(L14="","",IF(L14&gt;N12,"W",IF(L14&lt;N12,"L","D")))</f>
        <v/>
      </c>
      <c r="M14" s="27">
        <f>IF(M14="","",IF(M14&gt;N13,"W",IF(M14&lt;N13,"L","D")))</f>
        <v/>
      </c>
      <c r="N14" s="22" t="n"/>
      <c r="O14" s="23">
        <f>IF(O14="","",IF(O14&gt;N15,"W",IF(O14&lt;N15,"L","D")))</f>
        <v/>
      </c>
      <c r="P14" s="23">
        <f>IF(P14="","",IF(P14&gt;N16,"W",IF(P14&lt;N16,"L","D")))</f>
        <v/>
      </c>
      <c r="Q14" s="23">
        <f>IF(Q14="","",IF(Q14&gt;N17,"W",IF(Q14&lt;N17,"L","D")))</f>
        <v/>
      </c>
      <c r="R14" s="23">
        <f>IF(R14="","",IF(R14&gt;N18,"W",IF(R14&lt;N18,"L","D")))</f>
        <v/>
      </c>
      <c r="S14" s="23">
        <f>IF(S14="","",IF(S14&gt;N19,"W",IF(S14&lt;N19,"L","D")))</f>
        <v/>
      </c>
      <c r="T14" s="23">
        <f>IF(T14="","",IF(T14&gt;N20,"W",IF(T14&lt;N20,"L","D")))</f>
        <v/>
      </c>
      <c r="U14" s="23">
        <f>IF(U14="","",IF(U14&gt;N21,"W",IF(U14&lt;N21,"L","D")))</f>
        <v/>
      </c>
      <c r="V14" s="23">
        <f>IF(V14="","",IF(V14&gt;N22,"W",IF(V14&lt;N22,"L","D")))</f>
        <v/>
      </c>
      <c r="W14" s="23">
        <f>IF(W14="","",IF(W14&gt;N23,"W",IF(W14&lt;N23,"L","D")))</f>
        <v/>
      </c>
      <c r="X14" s="23">
        <f>IF(X14="","",IF(X14&gt;N24,"W",IF(X14&lt;N24,"L","D")))</f>
        <v/>
      </c>
      <c r="Y14" s="23">
        <f>IF(Y14="","",IF(Y14&gt;N25,"W",IF(Y14&lt;N25,"L","D")))</f>
        <v/>
      </c>
      <c r="Z14" s="23">
        <f>IF(Z14="","",IF(Z14&gt;N26,"W",IF(Z14&lt;N26,"L","D")))</f>
        <v/>
      </c>
      <c r="AA14" s="23">
        <f>IF(AA14="","",IF(AA14&gt;N27,"W",IF(AA14&lt;N27,"L","D")))</f>
        <v/>
      </c>
      <c r="AB14" s="23">
        <f>IF(AB14="","",IF(AB14&gt;N28,"W",IF(AB14&lt;N28,"L","D")))</f>
        <v/>
      </c>
      <c r="AC14" s="23">
        <f>IF(AC14="","",IF(AC14&gt;N29,"W",IF(AC14&lt;N29,"L","D")))</f>
        <v/>
      </c>
      <c r="AD14" s="23">
        <f>IF(AD14="","",IF(AD14&gt;N30,"W",IF(AD14&lt;N30,"L","D")))</f>
        <v/>
      </c>
      <c r="AE14" s="23">
        <f>IF(AE14="","",IF(AE14&gt;N31,"W",IF(AE14&lt;N31,"L","D")))</f>
        <v/>
      </c>
      <c r="AF14" s="23">
        <f>IF(AF14="","",IF(AF14&gt;N32,"W",IF(AF14&lt;N32,"L","D")))</f>
        <v/>
      </c>
      <c r="AG14" s="24">
        <f>SUM(C14:AF14)</f>
        <v/>
      </c>
      <c r="AH14" s="25">
        <f>SUMPRODUCT((O14&lt;&gt;"")*(O14&gt;=0)+(P14&lt;&gt;"")*(P14&gt;=0)+(Q14&lt;&gt;"")*(Q14&gt;=0)+(R14&lt;&gt;"")*(R14&gt;=0)+(S14&lt;&gt;"")*(S14&gt;=0)+(T14&lt;&gt;"")*(T14&gt;=0)+(U14&lt;&gt;"")*(U14&gt;=0)+(V14&lt;&gt;"")*(V14&gt;=0)+(W14&lt;&gt;"")*(W14&gt;=0)+(X14&lt;&gt;"")*(X14&gt;=0)+(Y14&lt;&gt;"")*(Y14&gt;=0)+(Z14&lt;&gt;"")*(Z14&gt;=0)+(AA14&lt;&gt;"")*(AA14&gt;=0)+(AB14&lt;&gt;"")*(AB14&gt;=0)+(AC14&lt;&gt;"")*(AC14&gt;=0)+(AD14&lt;&gt;"")*(AD14&gt;=0)+(AE14&lt;&gt;"")*(AE14&gt;=0)+(AF14&lt;&gt;"")*(AF14&gt;=0))</f>
        <v/>
      </c>
      <c r="AI14" s="26">
        <f>SUMPRODUCT((C14&lt;&gt;"")*(C14&gt;=0)+(D14&lt;&gt;"")*(D14&gt;=0)+(E14&lt;&gt;"")*(E14&gt;=0)+(F14&lt;&gt;"")*(F14&gt;=0)+(G14&lt;&gt;"")*(G14&gt;=0)+(H14&lt;&gt;"")*(H14&gt;=0)+(I14&lt;&gt;"")*(I14&gt;=0)+(J14&lt;&gt;"")*(J14&gt;=0)+(K14&lt;&gt;"")*(K14&gt;=0)+(L14&lt;&gt;"")*(L14&gt;=0)+(M14&lt;&gt;"")*(M14&gt;=0))</f>
        <v/>
      </c>
      <c r="AJ14" s="30">
        <f>COUNTIF(C14:AF14,"W")</f>
        <v/>
      </c>
      <c r="AK14" s="31">
        <f>COUNTIF(C14:AF14,"L")</f>
        <v/>
      </c>
      <c r="AL14" s="32">
        <f>COUNTIF(C14:AF14,"D")</f>
        <v/>
      </c>
      <c r="AM14" s="33">
        <f>AJ14+AK14+AL14</f>
        <v/>
      </c>
    </row>
    <row r="15" ht="19.5" customHeight="1" s="15">
      <c r="A15" s="20" t="n"/>
      <c r="B15" s="21" t="n">
        <v>13</v>
      </c>
      <c r="C15" s="27">
        <f>IF(C15="","",IF(C15&gt;O3,"W",IF(C15&lt;O3,"L","D")))</f>
        <v/>
      </c>
      <c r="D15" s="27">
        <f>IF(D15="","",IF(D15&gt;O4,"W",IF(D15&lt;O4,"L","D")))</f>
        <v/>
      </c>
      <c r="E15" s="27">
        <f>IF(E15="","",IF(E15&gt;O5,"W",IF(E15&lt;O5,"L","D")))</f>
        <v/>
      </c>
      <c r="F15" s="27">
        <f>IF(F15="","",IF(F15&gt;O6,"W",IF(F15&lt;O6,"L","D")))</f>
        <v/>
      </c>
      <c r="G15" s="27">
        <f>IF(G15="","",IF(G15&gt;O7,"W",IF(G15&lt;O7,"L","D")))</f>
        <v/>
      </c>
      <c r="H15" s="27">
        <f>IF(H15="","",IF(H15&gt;O8,"W",IF(H15&lt;O8,"L","D")))</f>
        <v/>
      </c>
      <c r="I15" s="27">
        <f>IF(I15="","",IF(I15&gt;O9,"W",IF(I15&lt;O9,"L","D")))</f>
        <v/>
      </c>
      <c r="J15" s="27">
        <f>IF(J15="","",IF(J15&gt;O10,"W",IF(J15&lt;O10,"L","D")))</f>
        <v/>
      </c>
      <c r="K15" s="27">
        <f>IF(K15="","",IF(K15&gt;O11,"W",IF(K15&lt;O11,"L","D")))</f>
        <v/>
      </c>
      <c r="L15" s="27">
        <f>IF(L15="","",IF(L15&gt;O12,"W",IF(L15&lt;O12,"L","D")))</f>
        <v/>
      </c>
      <c r="M15" s="27">
        <f>IF(M15="","",IF(M15&gt;O13,"W",IF(M15&lt;O13,"L","D")))</f>
        <v/>
      </c>
      <c r="N15" s="27">
        <f>IF(N15="","",IF(N15&gt;O14,"W",IF(N15&lt;O14,"L","D")))</f>
        <v/>
      </c>
      <c r="O15" s="22" t="n"/>
      <c r="P15" s="23">
        <f>IF(P15="","",IF(P15&gt;O16,"W",IF(P15&lt;O16,"L","D")))</f>
        <v/>
      </c>
      <c r="Q15" s="23">
        <f>IF(Q15="","",IF(Q15&gt;O17,"W",IF(Q15&lt;O17,"L","D")))</f>
        <v/>
      </c>
      <c r="R15" s="23">
        <f>IF(R15="","",IF(R15&gt;O18,"W",IF(R15&lt;O18,"L","D")))</f>
        <v/>
      </c>
      <c r="S15" s="23">
        <f>IF(S15="","",IF(S15&gt;O19,"W",IF(S15&lt;O19,"L","D")))</f>
        <v/>
      </c>
      <c r="T15" s="23">
        <f>IF(T15="","",IF(T15&gt;O20,"W",IF(T15&lt;O20,"L","D")))</f>
        <v/>
      </c>
      <c r="U15" s="23">
        <f>IF(U15="","",IF(U15&gt;O21,"W",IF(U15&lt;O21,"L","D")))</f>
        <v/>
      </c>
      <c r="V15" s="23">
        <f>IF(V15="","",IF(V15&gt;O22,"W",IF(V15&lt;O22,"L","D")))</f>
        <v/>
      </c>
      <c r="W15" s="23">
        <f>IF(W15="","",IF(W15&gt;O23,"W",IF(W15&lt;O23,"L","D")))</f>
        <v/>
      </c>
      <c r="X15" s="23">
        <f>IF(X15="","",IF(X15&gt;O24,"W",IF(X15&lt;O24,"L","D")))</f>
        <v/>
      </c>
      <c r="Y15" s="23">
        <f>IF(Y15="","",IF(Y15&gt;O25,"W",IF(Y15&lt;O25,"L","D")))</f>
        <v/>
      </c>
      <c r="Z15" s="23">
        <f>IF(Z15="","",IF(Z15&gt;O26,"W",IF(Z15&lt;O26,"L","D")))</f>
        <v/>
      </c>
      <c r="AA15" s="23">
        <f>IF(AA15="","",IF(AA15&gt;O27,"W",IF(AA15&lt;O27,"L","D")))</f>
        <v/>
      </c>
      <c r="AB15" s="23">
        <f>IF(AB15="","",IF(AB15&gt;O28,"W",IF(AB15&lt;O28,"L","D")))</f>
        <v/>
      </c>
      <c r="AC15" s="23">
        <f>IF(AC15="","",IF(AC15&gt;O29,"W",IF(AC15&lt;O29,"L","D")))</f>
        <v/>
      </c>
      <c r="AD15" s="23">
        <f>IF(AD15="","",IF(AD15&gt;O30,"W",IF(AD15&lt;O30,"L","D")))</f>
        <v/>
      </c>
      <c r="AE15" s="23">
        <f>IF(AE15="","",IF(AE15&gt;O31,"W",IF(AE15&lt;O31,"L","D")))</f>
        <v/>
      </c>
      <c r="AF15" s="23">
        <f>IF(AF15="","",IF(AF15&gt;O32,"W",IF(AF15&lt;O32,"L","D")))</f>
        <v/>
      </c>
      <c r="AG15" s="24">
        <f>SUM(C15:AF15)</f>
        <v/>
      </c>
      <c r="AH15" s="25">
        <f>SUMPRODUCT((P15&lt;&gt;"")*(P15&gt;=0)+(Q15&lt;&gt;"")*(Q15&gt;=0)+(R15&lt;&gt;"")*(R15&gt;=0)+(S15&lt;&gt;"")*(S15&gt;=0)+(T15&lt;&gt;"")*(T15&gt;=0)+(U15&lt;&gt;"")*(U15&gt;=0)+(V15&lt;&gt;"")*(V15&gt;=0)+(W15&lt;&gt;"")*(W15&gt;=0)+(X15&lt;&gt;"")*(X15&gt;=0)+(Y15&lt;&gt;"")*(Y15&gt;=0)+(Z15&lt;&gt;"")*(Z15&gt;=0)+(AA15&lt;&gt;"")*(AA15&gt;=0)+(AB15&lt;&gt;"")*(AB15&gt;=0)+(AC15&lt;&gt;"")*(AC15&gt;=0)+(AD15&lt;&gt;"")*(AD15&gt;=0)+(AE15&lt;&gt;"")*(AE15&gt;=0)+(AF15&lt;&gt;"")*(AF15&gt;=0))</f>
        <v/>
      </c>
      <c r="AI15" s="26">
        <f>SUMPRODUCT((C15&lt;&gt;"")*(C15&gt;=0)+(D15&lt;&gt;"")*(D15&gt;=0)+(E15&lt;&gt;"")*(E15&gt;=0)+(F15&lt;&gt;"")*(F15&gt;=0)+(G15&lt;&gt;"")*(G15&gt;=0)+(H15&lt;&gt;"")*(H15&gt;=0)+(I15&lt;&gt;"")*(I15&gt;=0)+(J15&lt;&gt;"")*(J15&gt;=0)+(K15&lt;&gt;"")*(K15&gt;=0)+(L15&lt;&gt;"")*(L15&gt;=0)+(M15&lt;&gt;"")*(M15&gt;=0)+(N15&lt;&gt;"")*(N15&gt;=0))</f>
        <v/>
      </c>
      <c r="AJ15" s="30">
        <f>COUNTIF(C15:AF15,"W")</f>
        <v/>
      </c>
      <c r="AK15" s="31">
        <f>COUNTIF(C15:AF15,"L")</f>
        <v/>
      </c>
      <c r="AL15" s="32">
        <f>COUNTIF(C15:AF15,"D")</f>
        <v/>
      </c>
      <c r="AM15" s="33">
        <f>AJ15+AK15+AL15</f>
        <v/>
      </c>
    </row>
    <row r="16" ht="19.5" customHeight="1" s="15">
      <c r="A16" s="20" t="n"/>
      <c r="B16" s="21" t="n">
        <v>14</v>
      </c>
      <c r="C16" s="27">
        <f>IF(C16="","",IF(C16&gt;P3,"W",IF(C16&lt;P3,"L","D")))</f>
        <v/>
      </c>
      <c r="D16" s="27">
        <f>IF(D16="","",IF(D16&gt;P4,"W",IF(D16&lt;P4,"L","D")))</f>
        <v/>
      </c>
      <c r="E16" s="27">
        <f>IF(E16="","",IF(E16&gt;P5,"W",IF(E16&lt;P5,"L","D")))</f>
        <v/>
      </c>
      <c r="F16" s="27">
        <f>IF(F16="","",IF(F16&gt;P6,"W",IF(F16&lt;P6,"L","D")))</f>
        <v/>
      </c>
      <c r="G16" s="27">
        <f>IF(G16="","",IF(G16&gt;P7,"W",IF(G16&lt;P7,"L","D")))</f>
        <v/>
      </c>
      <c r="H16" s="27">
        <f>IF(H16="","",IF(H16&gt;P8,"W",IF(H16&lt;P8,"L","D")))</f>
        <v/>
      </c>
      <c r="I16" s="27">
        <f>IF(I16="","",IF(I16&gt;P9,"W",IF(I16&lt;P9,"L","D")))</f>
        <v/>
      </c>
      <c r="J16" s="27">
        <f>IF(J16="","",IF(J16&gt;P10,"W",IF(J16&lt;P10,"L","D")))</f>
        <v/>
      </c>
      <c r="K16" s="27">
        <f>IF(K16="","",IF(K16&gt;P11,"W",IF(K16&lt;P11,"L","D")))</f>
        <v/>
      </c>
      <c r="L16" s="27">
        <f>IF(L16="","",IF(L16&gt;P12,"W",IF(L16&lt;P12,"L","D")))</f>
        <v/>
      </c>
      <c r="M16" s="27">
        <f>IF(M16="","",IF(M16&gt;P13,"W",IF(M16&lt;P13,"L","D")))</f>
        <v/>
      </c>
      <c r="N16" s="27">
        <f>IF(N16="","",IF(N16&gt;P14,"W",IF(N16&lt;P14,"L","D")))</f>
        <v/>
      </c>
      <c r="O16" s="27">
        <f>IF(O16="","",IF(O16&gt;P15,"W",IF(O16&lt;P15,"L","D")))</f>
        <v/>
      </c>
      <c r="P16" s="22" t="n"/>
      <c r="Q16" s="23">
        <f>IF(Q16="","",IF(Q16&gt;P17,"W",IF(Q16&lt;P17,"L","D")))</f>
        <v/>
      </c>
      <c r="R16" s="23">
        <f>IF(R16="","",IF(R16&gt;P18,"W",IF(R16&lt;P18,"L","D")))</f>
        <v/>
      </c>
      <c r="S16" s="23">
        <f>IF(S16="","",IF(S16&gt;P19,"W",IF(S16&lt;P19,"L","D")))</f>
        <v/>
      </c>
      <c r="T16" s="23">
        <f>IF(T16="","",IF(T16&gt;P20,"W",IF(T16&lt;P20,"L","D")))</f>
        <v/>
      </c>
      <c r="U16" s="23">
        <f>IF(U16="","",IF(U16&gt;P21,"W",IF(U16&lt;P21,"L","D")))</f>
        <v/>
      </c>
      <c r="V16" s="23">
        <f>IF(V16="","",IF(V16&gt;P22,"W",IF(V16&lt;P22,"L","D")))</f>
        <v/>
      </c>
      <c r="W16" s="23">
        <f>IF(W16="","",IF(W16&gt;P23,"W",IF(W16&lt;P23,"L","D")))</f>
        <v/>
      </c>
      <c r="X16" s="23">
        <f>IF(X16="","",IF(X16&gt;P24,"W",IF(X16&lt;P24,"L","D")))</f>
        <v/>
      </c>
      <c r="Y16" s="23">
        <f>IF(Y16="","",IF(Y16&gt;P25,"W",IF(Y16&lt;P25,"L","D")))</f>
        <v/>
      </c>
      <c r="Z16" s="23">
        <f>IF(Z16="","",IF(Z16&gt;P26,"W",IF(Z16&lt;P26,"L","D")))</f>
        <v/>
      </c>
      <c r="AA16" s="23">
        <f>IF(AA16="","",IF(AA16&gt;P27,"W",IF(AA16&lt;P27,"L","D")))</f>
        <v/>
      </c>
      <c r="AB16" s="23">
        <f>IF(AB16="","",IF(AB16&gt;P28,"W",IF(AB16&lt;P28,"L","D")))</f>
        <v/>
      </c>
      <c r="AC16" s="23">
        <f>IF(AC16="","",IF(AC16&gt;P29,"W",IF(AC16&lt;P29,"L","D")))</f>
        <v/>
      </c>
      <c r="AD16" s="23">
        <f>IF(AD16="","",IF(AD16&gt;P30,"W",IF(AD16&lt;P30,"L","D")))</f>
        <v/>
      </c>
      <c r="AE16" s="23">
        <f>IF(AE16="","",IF(AE16&gt;P31,"W",IF(AE16&lt;P31,"L","D")))</f>
        <v/>
      </c>
      <c r="AF16" s="23">
        <f>IF(AF16="","",IF(AF16&gt;P32,"W",IF(AF16&lt;P32,"L","D")))</f>
        <v/>
      </c>
      <c r="AG16" s="24">
        <f>SUM(C16:AF16)</f>
        <v/>
      </c>
      <c r="AH16" s="25">
        <f>SUMPRODUCT((Q16&lt;&gt;"")*(Q16&gt;=0)+(R16&lt;&gt;"")*(R16&gt;=0)+(S16&lt;&gt;"")*(S16&gt;=0)+(T16&lt;&gt;"")*(T16&gt;=0)+(U16&lt;&gt;"")*(U16&gt;=0)+(V16&lt;&gt;"")*(V16&gt;=0)+(W16&lt;&gt;"")*(W16&gt;=0)+(X16&lt;&gt;"")*(X16&gt;=0)+(Y16&lt;&gt;"")*(Y16&gt;=0)+(Z16&lt;&gt;"")*(Z16&gt;=0)+(AA16&lt;&gt;"")*(AA16&gt;=0)+(AB16&lt;&gt;"")*(AB16&gt;=0)+(AC16&lt;&gt;"")*(AC16&gt;=0)+(AD16&lt;&gt;"")*(AD16&gt;=0)+(AE16&lt;&gt;"")*(AE16&gt;=0)+(AF16&lt;&gt;"")*(AF16&gt;=0))</f>
        <v/>
      </c>
      <c r="AI16" s="26">
        <f>SUMPRODUCT((C16&lt;&gt;"")*(C16&gt;=0)+(D16&lt;&gt;"")*(D16&gt;=0)+(E16&lt;&gt;"")*(E16&gt;=0)+(F16&lt;&gt;"")*(F16&gt;=0)+(G16&lt;&gt;"")*(G16&gt;=0)+(H16&lt;&gt;"")*(H16&gt;=0)+(I16&lt;&gt;"")*(I16&gt;=0)+(J16&lt;&gt;"")*(J16&gt;=0)+(K16&lt;&gt;"")*(K16&gt;=0)+(L16&lt;&gt;"")*(L16&gt;=0)+(M16&lt;&gt;"")*(M16&gt;=0)+(N16&lt;&gt;"")*(N16&gt;=0)+(O16&lt;&gt;"")*(O16&gt;=0))</f>
        <v/>
      </c>
      <c r="AJ16" s="30">
        <f>COUNTIF(C16:AF16,"W")</f>
        <v/>
      </c>
      <c r="AK16" s="31">
        <f>COUNTIF(C16:AF16,"L")</f>
        <v/>
      </c>
      <c r="AL16" s="32">
        <f>COUNTIF(C16:AF16,"D")</f>
        <v/>
      </c>
      <c r="AM16" s="33">
        <f>AJ16+AK16+AL16</f>
        <v/>
      </c>
    </row>
    <row r="17" ht="19.5" customHeight="1" s="15">
      <c r="A17" s="20" t="n"/>
      <c r="B17" s="21" t="n">
        <v>15</v>
      </c>
      <c r="C17" s="27">
        <f>IF(C17="","",IF(C17&gt;Q3,"W",IF(C17&lt;Q3,"L","D")))</f>
        <v/>
      </c>
      <c r="D17" s="27">
        <f>IF(D17="","",IF(D17&gt;Q4,"W",IF(D17&lt;Q4,"L","D")))</f>
        <v/>
      </c>
      <c r="E17" s="27">
        <f>IF(E17="","",IF(E17&gt;Q5,"W",IF(E17&lt;Q5,"L","D")))</f>
        <v/>
      </c>
      <c r="F17" s="27">
        <f>IF(F17="","",IF(F17&gt;Q6,"W",IF(F17&lt;Q6,"L","D")))</f>
        <v/>
      </c>
      <c r="G17" s="27">
        <f>IF(G17="","",IF(G17&gt;Q7,"W",IF(G17&lt;Q7,"L","D")))</f>
        <v/>
      </c>
      <c r="H17" s="27">
        <f>IF(H17="","",IF(H17&gt;Q8,"W",IF(H17&lt;Q8,"L","D")))</f>
        <v/>
      </c>
      <c r="I17" s="27">
        <f>IF(I17="","",IF(I17&gt;Q9,"W",IF(I17&lt;Q9,"L","D")))</f>
        <v/>
      </c>
      <c r="J17" s="27">
        <f>IF(J17="","",IF(J17&gt;Q10,"W",IF(J17&lt;Q10,"L","D")))</f>
        <v/>
      </c>
      <c r="K17" s="27">
        <f>IF(K17="","",IF(K17&gt;Q11,"W",IF(K17&lt;Q11,"L","D")))</f>
        <v/>
      </c>
      <c r="L17" s="27">
        <f>IF(L17="","",IF(L17&gt;Q12,"W",IF(L17&lt;Q12,"L","D")))</f>
        <v/>
      </c>
      <c r="M17" s="27">
        <f>IF(M17="","",IF(M17&gt;Q13,"W",IF(M17&lt;Q13,"L","D")))</f>
        <v/>
      </c>
      <c r="N17" s="27">
        <f>IF(N17="","",IF(N17&gt;Q14,"W",IF(N17&lt;Q14,"L","D")))</f>
        <v/>
      </c>
      <c r="O17" s="27">
        <f>IF(O17="","",IF(O17&gt;Q15,"W",IF(O17&lt;Q15,"L","D")))</f>
        <v/>
      </c>
      <c r="P17" s="27">
        <f>IF(P17="","",IF(P17&gt;Q16,"W",IF(P17&lt;Q16,"L","D")))</f>
        <v/>
      </c>
      <c r="Q17" s="22" t="n"/>
      <c r="R17" s="23">
        <f>IF(R17="","",IF(R17&gt;Q18,"W",IF(R17&lt;Q18,"L","D")))</f>
        <v/>
      </c>
      <c r="S17" s="23">
        <f>IF(S17="","",IF(S17&gt;Q19,"W",IF(S17&lt;Q19,"L","D")))</f>
        <v/>
      </c>
      <c r="T17" s="23">
        <f>IF(T17="","",IF(T17&gt;Q20,"W",IF(T17&lt;Q20,"L","D")))</f>
        <v/>
      </c>
      <c r="U17" s="23">
        <f>IF(U17="","",IF(U17&gt;Q21,"W",IF(U17&lt;Q21,"L","D")))</f>
        <v/>
      </c>
      <c r="V17" s="23">
        <f>IF(V17="","",IF(V17&gt;Q22,"W",IF(V17&lt;Q22,"L","D")))</f>
        <v/>
      </c>
      <c r="W17" s="23">
        <f>IF(W17="","",IF(W17&gt;Q23,"W",IF(W17&lt;Q23,"L","D")))</f>
        <v/>
      </c>
      <c r="X17" s="23">
        <f>IF(X17="","",IF(X17&gt;Q24,"W",IF(X17&lt;Q24,"L","D")))</f>
        <v/>
      </c>
      <c r="Y17" s="23">
        <f>IF(Y17="","",IF(Y17&gt;Q25,"W",IF(Y17&lt;Q25,"L","D")))</f>
        <v/>
      </c>
      <c r="Z17" s="23">
        <f>IF(Z17="","",IF(Z17&gt;Q26,"W",IF(Z17&lt;Q26,"L","D")))</f>
        <v/>
      </c>
      <c r="AA17" s="23">
        <f>IF(AA17="","",IF(AA17&gt;Q27,"W",IF(AA17&lt;Q27,"L","D")))</f>
        <v/>
      </c>
      <c r="AB17" s="23">
        <f>IF(AB17="","",IF(AB17&gt;Q28,"W",IF(AB17&lt;Q28,"L","D")))</f>
        <v/>
      </c>
      <c r="AC17" s="23">
        <f>IF(AC17="","",IF(AC17&gt;Q29,"W",IF(AC17&lt;Q29,"L","D")))</f>
        <v/>
      </c>
      <c r="AD17" s="23">
        <f>IF(AD17="","",IF(AD17&gt;Q30,"W",IF(AD17&lt;Q30,"L","D")))</f>
        <v/>
      </c>
      <c r="AE17" s="23">
        <f>IF(AE17="","",IF(AE17&gt;Q31,"W",IF(AE17&lt;Q31,"L","D")))</f>
        <v/>
      </c>
      <c r="AF17" s="23">
        <f>IF(AF17="","",IF(AF17&gt;Q32,"W",IF(AF17&lt;Q32,"L","D")))</f>
        <v/>
      </c>
      <c r="AG17" s="24">
        <f>SUM(C17:AF17)</f>
        <v/>
      </c>
      <c r="AH17" s="25">
        <f>SUMPRODUCT((R17&lt;&gt;"")*(R17&gt;=0)+(S17&lt;&gt;"")*(S17&gt;=0)+(T17&lt;&gt;"")*(T17&gt;=0)+(U17&lt;&gt;"")*(U17&gt;=0)+(V17&lt;&gt;"")*(V17&gt;=0)+(W17&lt;&gt;"")*(W17&gt;=0)+(X17&lt;&gt;"")*(X17&gt;=0)+(Y17&lt;&gt;"")*(Y17&gt;=0)+(Z17&lt;&gt;"")*(Z17&gt;=0)+(AA17&lt;&gt;"")*(AA17&gt;=0)+(AB17&lt;&gt;"")*(AB17&gt;=0)+(AC17&lt;&gt;"")*(AC17&gt;=0)+(AD17&lt;&gt;"")*(AD17&gt;=0)+(AE17&lt;&gt;"")*(AE17&gt;=0)+(AF17&lt;&gt;"")*(AF17&gt;=0))</f>
        <v/>
      </c>
      <c r="AI17" s="26">
        <f>SUMPRODUCT((C17&lt;&gt;"")*(C17&gt;=0)+(D17&lt;&gt;"")*(D17&gt;=0)+(E17&lt;&gt;"")*(E17&gt;=0)+(F17&lt;&gt;"")*(F17&gt;=0)+(G17&lt;&gt;"")*(G17&gt;=0)+(H17&lt;&gt;"")*(H17&gt;=0)+(I17&lt;&gt;"")*(I17&gt;=0)+(J17&lt;&gt;"")*(J17&gt;=0)+(K17&lt;&gt;"")*(K17&gt;=0)+(L17&lt;&gt;"")*(L17&gt;=0)+(M17&lt;&gt;"")*(M17&gt;=0)+(N17&lt;&gt;"")*(N17&gt;=0)+(O17&lt;&gt;"")*(O17&gt;=0)+(P17&lt;&gt;"")*(P17&gt;=0))</f>
        <v/>
      </c>
      <c r="AJ17" s="30">
        <f>COUNTIF(C17:AF17,"W")</f>
        <v/>
      </c>
      <c r="AK17" s="31">
        <f>COUNTIF(C17:AF17,"L")</f>
        <v/>
      </c>
      <c r="AL17" s="32">
        <f>COUNTIF(C17:AF17,"D")</f>
        <v/>
      </c>
      <c r="AM17" s="33">
        <f>AJ17+AK17+AL17</f>
        <v/>
      </c>
    </row>
    <row r="18" ht="19.5" customHeight="1" s="15">
      <c r="A18" s="20" t="n"/>
      <c r="B18" s="21" t="n">
        <v>16</v>
      </c>
      <c r="C18" s="27">
        <f>IF(C18="","",IF(C18&gt;R3,"W",IF(C18&lt;R3,"L","D")))</f>
        <v/>
      </c>
      <c r="D18" s="27">
        <f>IF(D18="","",IF(D18&gt;R4,"W",IF(D18&lt;R4,"L","D")))</f>
        <v/>
      </c>
      <c r="E18" s="27">
        <f>IF(E18="","",IF(E18&gt;R5,"W",IF(E18&lt;R5,"L","D")))</f>
        <v/>
      </c>
      <c r="F18" s="27">
        <f>IF(F18="","",IF(F18&gt;R6,"W",IF(F18&lt;R6,"L","D")))</f>
        <v/>
      </c>
      <c r="G18" s="27">
        <f>IF(G18="","",IF(G18&gt;R7,"W",IF(G18&lt;R7,"L","D")))</f>
        <v/>
      </c>
      <c r="H18" s="27">
        <f>IF(H18="","",IF(H18&gt;R8,"W",IF(H18&lt;R8,"L","D")))</f>
        <v/>
      </c>
      <c r="I18" s="27">
        <f>IF(I18="","",IF(I18&gt;R9,"W",IF(I18&lt;R9,"L","D")))</f>
        <v/>
      </c>
      <c r="J18" s="27">
        <f>IF(J18="","",IF(J18&gt;R10,"W",IF(J18&lt;R10,"L","D")))</f>
        <v/>
      </c>
      <c r="K18" s="27">
        <f>IF(K18="","",IF(K18&gt;R11,"W",IF(K18&lt;R11,"L","D")))</f>
        <v/>
      </c>
      <c r="L18" s="27">
        <f>IF(L18="","",IF(L18&gt;R12,"W",IF(L18&lt;R12,"L","D")))</f>
        <v/>
      </c>
      <c r="M18" s="27">
        <f>IF(M18="","",IF(M18&gt;R13,"W",IF(M18&lt;R13,"L","D")))</f>
        <v/>
      </c>
      <c r="N18" s="27">
        <f>IF(N18="","",IF(N18&gt;R14,"W",IF(N18&lt;R14,"L","D")))</f>
        <v/>
      </c>
      <c r="O18" s="27">
        <f>IF(O18="","",IF(O18&gt;R15,"W",IF(O18&lt;R15,"L","D")))</f>
        <v/>
      </c>
      <c r="P18" s="27">
        <f>IF(P18="","",IF(P18&gt;R16,"W",IF(P18&lt;R16,"L","D")))</f>
        <v/>
      </c>
      <c r="Q18" s="27">
        <f>IF(Q18="","",IF(Q18&gt;R17,"W",IF(Q18&lt;R17,"L","D")))</f>
        <v/>
      </c>
      <c r="R18" s="22" t="n"/>
      <c r="S18" s="23">
        <f>IF(S18="","",IF(S18&gt;R19,"W",IF(S18&lt;R19,"L","D")))</f>
        <v/>
      </c>
      <c r="T18" s="23">
        <f>IF(T18="","",IF(T18&gt;R20,"W",IF(T18&lt;R20,"L","D")))</f>
        <v/>
      </c>
      <c r="U18" s="23">
        <f>IF(U18="","",IF(U18&gt;R21,"W",IF(U18&lt;R21,"L","D")))</f>
        <v/>
      </c>
      <c r="V18" s="23">
        <f>IF(V18="","",IF(V18&gt;R22,"W",IF(V18&lt;R22,"L","D")))</f>
        <v/>
      </c>
      <c r="W18" s="23">
        <f>IF(W18="","",IF(W18&gt;R23,"W",IF(W18&lt;R23,"L","D")))</f>
        <v/>
      </c>
      <c r="X18" s="23">
        <f>IF(X18="","",IF(X18&gt;R24,"W",IF(X18&lt;R24,"L","D")))</f>
        <v/>
      </c>
      <c r="Y18" s="23">
        <f>IF(Y18="","",IF(Y18&gt;R25,"W",IF(Y18&lt;R25,"L","D")))</f>
        <v/>
      </c>
      <c r="Z18" s="23">
        <f>IF(Z18="","",IF(Z18&gt;R26,"W",IF(Z18&lt;R26,"L","D")))</f>
        <v/>
      </c>
      <c r="AA18" s="23">
        <f>IF(AA18="","",IF(AA18&gt;R27,"W",IF(AA18&lt;R27,"L","D")))</f>
        <v/>
      </c>
      <c r="AB18" s="23">
        <f>IF(AB18="","",IF(AB18&gt;R28,"W",IF(AB18&lt;R28,"L","D")))</f>
        <v/>
      </c>
      <c r="AC18" s="23">
        <f>IF(AC18="","",IF(AC18&gt;R29,"W",IF(AC18&lt;R29,"L","D")))</f>
        <v/>
      </c>
      <c r="AD18" s="23">
        <f>IF(AD18="","",IF(AD18&gt;R30,"W",IF(AD18&lt;R30,"L","D")))</f>
        <v/>
      </c>
      <c r="AE18" s="23">
        <f>IF(AE18="","",IF(AE18&gt;R31,"W",IF(AE18&lt;R31,"L","D")))</f>
        <v/>
      </c>
      <c r="AF18" s="23">
        <f>IF(AF18="","",IF(AF18&gt;R32,"W",IF(AF18&lt;R32,"L","D")))</f>
        <v/>
      </c>
      <c r="AG18" s="24">
        <f>SUM(C18:AF18)</f>
        <v/>
      </c>
      <c r="AH18" s="25">
        <f>SUMPRODUCT((S18&lt;&gt;"")*(S18&gt;=0)+(T18&lt;&gt;"")*(T18&gt;=0)+(U18&lt;&gt;"")*(U18&gt;=0)+(V18&lt;&gt;"")*(V18&gt;=0)+(W18&lt;&gt;"")*(W18&gt;=0)+(X18&lt;&gt;"")*(X18&gt;=0)+(Y18&lt;&gt;"")*(Y18&gt;=0)+(Z18&lt;&gt;"")*(Z18&gt;=0)+(AA18&lt;&gt;"")*(AA18&gt;=0)+(AB18&lt;&gt;"")*(AB18&gt;=0)+(AC18&lt;&gt;"")*(AC18&gt;=0)+(AD18&lt;&gt;"")*(AD18&gt;=0)+(AE18&lt;&gt;"")*(AE18&gt;=0)+(AF18&lt;&gt;"")*(AF18&gt;=0))</f>
        <v/>
      </c>
      <c r="AI18" s="26">
        <f>SUMPRODUCT((C18&lt;&gt;"")*(C18&gt;=0)+(D18&lt;&gt;"")*(D18&gt;=0)+(E18&lt;&gt;"")*(E18&gt;=0)+(F18&lt;&gt;"")*(F18&gt;=0)+(G18&lt;&gt;"")*(G18&gt;=0)+(H18&lt;&gt;"")*(H18&gt;=0)+(I18&lt;&gt;"")*(I18&gt;=0)+(J18&lt;&gt;"")*(J18&gt;=0)+(K18&lt;&gt;"")*(K18&gt;=0)+(L18&lt;&gt;"")*(L18&gt;=0)+(M18&lt;&gt;"")*(M18&gt;=0)+(N18&lt;&gt;"")*(N18&gt;=0)+(O18&lt;&gt;"")*(O18&gt;=0)+(P18&lt;&gt;"")*(P18&gt;=0)+(Q18&lt;&gt;"")*(Q18&gt;=0))</f>
        <v/>
      </c>
      <c r="AJ18" s="30">
        <f>COUNTIF(C18:AF18,"W")</f>
        <v/>
      </c>
      <c r="AK18" s="31">
        <f>COUNTIF(C18:AF18,"L")</f>
        <v/>
      </c>
      <c r="AL18" s="32">
        <f>COUNTIF(C18:AF18,"D")</f>
        <v/>
      </c>
      <c r="AM18" s="33">
        <f>AJ18+AK18+AL18</f>
        <v/>
      </c>
    </row>
    <row r="19" ht="19.5" customHeight="1" s="15">
      <c r="A19" s="20" t="n"/>
      <c r="B19" s="21" t="n">
        <v>17</v>
      </c>
      <c r="C19" s="27">
        <f>IF(C19="","",IF(C19&gt;S3,"W",IF(C19&lt;S3,"L","D")))</f>
        <v/>
      </c>
      <c r="D19" s="27">
        <f>IF(D19="","",IF(D19&gt;S4,"W",IF(D19&lt;S4,"L","D")))</f>
        <v/>
      </c>
      <c r="E19" s="27">
        <f>IF(E19="","",IF(E19&gt;S5,"W",IF(E19&lt;S5,"L","D")))</f>
        <v/>
      </c>
      <c r="F19" s="27">
        <f>IF(F19="","",IF(F19&gt;S6,"W",IF(F19&lt;S6,"L","D")))</f>
        <v/>
      </c>
      <c r="G19" s="27">
        <f>IF(G19="","",IF(G19&gt;S7,"W",IF(G19&lt;S7,"L","D")))</f>
        <v/>
      </c>
      <c r="H19" s="27">
        <f>IF(H19="","",IF(H19&gt;S8,"W",IF(H19&lt;S8,"L","D")))</f>
        <v/>
      </c>
      <c r="I19" s="27">
        <f>IF(I19="","",IF(I19&gt;S9,"W",IF(I19&lt;S9,"L","D")))</f>
        <v/>
      </c>
      <c r="J19" s="27">
        <f>IF(J19="","",IF(J19&gt;S10,"W",IF(J19&lt;S10,"L","D")))</f>
        <v/>
      </c>
      <c r="K19" s="27">
        <f>IF(K19="","",IF(K19&gt;S11,"W",IF(K19&lt;S11,"L","D")))</f>
        <v/>
      </c>
      <c r="L19" s="27">
        <f>IF(L19="","",IF(L19&gt;S12,"W",IF(L19&lt;S12,"L","D")))</f>
        <v/>
      </c>
      <c r="M19" s="27">
        <f>IF(M19="","",IF(M19&gt;S13,"W",IF(M19&lt;S13,"L","D")))</f>
        <v/>
      </c>
      <c r="N19" s="27">
        <f>IF(N19="","",IF(N19&gt;S14,"W",IF(N19&lt;S14,"L","D")))</f>
        <v/>
      </c>
      <c r="O19" s="27">
        <f>IF(O19="","",IF(O19&gt;S15,"W",IF(O19&lt;S15,"L","D")))</f>
        <v/>
      </c>
      <c r="P19" s="27">
        <f>IF(P19="","",IF(P19&gt;S16,"W",IF(P19&lt;S16,"L","D")))</f>
        <v/>
      </c>
      <c r="Q19" s="27">
        <f>IF(Q19="","",IF(Q19&gt;S17,"W",IF(Q19&lt;S17,"L","D")))</f>
        <v/>
      </c>
      <c r="R19" s="27">
        <f>IF(R19="","",IF(R19&gt;S18,"W",IF(R19&lt;S18,"L","D")))</f>
        <v/>
      </c>
      <c r="S19" s="22" t="n"/>
      <c r="T19" s="23">
        <f>IF(T19="","",IF(T19&gt;S20,"W",IF(T19&lt;S20,"L","D")))</f>
        <v/>
      </c>
      <c r="U19" s="23">
        <f>IF(U19="","",IF(U19&gt;S21,"W",IF(U19&lt;S21,"L","D")))</f>
        <v/>
      </c>
      <c r="V19" s="23">
        <f>IF(V19="","",IF(V19&gt;S22,"W",IF(V19&lt;S22,"L","D")))</f>
        <v/>
      </c>
      <c r="W19" s="23">
        <f>IF(W19="","",IF(W19&gt;S23,"W",IF(W19&lt;S23,"L","D")))</f>
        <v/>
      </c>
      <c r="X19" s="23">
        <f>IF(X19="","",IF(X19&gt;S24,"W",IF(X19&lt;S24,"L","D")))</f>
        <v/>
      </c>
      <c r="Y19" s="23">
        <f>IF(Y19="","",IF(Y19&gt;S25,"W",IF(Y19&lt;S25,"L","D")))</f>
        <v/>
      </c>
      <c r="Z19" s="23">
        <f>IF(Z19="","",IF(Z19&gt;S26,"W",IF(Z19&lt;S26,"L","D")))</f>
        <v/>
      </c>
      <c r="AA19" s="23">
        <f>IF(AA19="","",IF(AA19&gt;S27,"W",IF(AA19&lt;S27,"L","D")))</f>
        <v/>
      </c>
      <c r="AB19" s="23">
        <f>IF(AB19="","",IF(AB19&gt;S28,"W",IF(AB19&lt;S28,"L","D")))</f>
        <v/>
      </c>
      <c r="AC19" s="23">
        <f>IF(AC19="","",IF(AC19&gt;S29,"W",IF(AC19&lt;S29,"L","D")))</f>
        <v/>
      </c>
      <c r="AD19" s="23">
        <f>IF(AD19="","",IF(AD19&gt;S30,"W",IF(AD19&lt;S30,"L","D")))</f>
        <v/>
      </c>
      <c r="AE19" s="23">
        <f>IF(AE19="","",IF(AE19&gt;S31,"W",IF(AE19&lt;S31,"L","D")))</f>
        <v/>
      </c>
      <c r="AF19" s="23">
        <f>IF(AF19="","",IF(AF19&gt;S32,"W",IF(AF19&lt;S32,"L","D")))</f>
        <v/>
      </c>
      <c r="AG19" s="24">
        <f>SUM(C19:AF19)</f>
        <v/>
      </c>
      <c r="AH19" s="25">
        <f>SUMPRODUCT((T19&lt;&gt;"")*(T19&gt;=0)+(U19&lt;&gt;"")*(U19&gt;=0)+(V19&lt;&gt;"")*(V19&gt;=0)+(W19&lt;&gt;"")*(W19&gt;=0)+(X19&lt;&gt;"")*(X19&gt;=0)+(Y19&lt;&gt;"")*(Y19&gt;=0)+(Z19&lt;&gt;"")*(Z19&gt;=0)+(AA19&lt;&gt;"")*(AA19&gt;=0)+(AB19&lt;&gt;"")*(AB19&gt;=0)+(AC19&lt;&gt;"")*(AC19&gt;=0)+(AD19&lt;&gt;"")*(AD19&gt;=0)+(AE19&lt;&gt;"")*(AE19&gt;=0)+(AF19&lt;&gt;"")*(AF19&gt;=0))</f>
        <v/>
      </c>
      <c r="AI19" s="26">
        <f>SUMPRODUCT((C19&lt;&gt;"")*(C19&gt;=0)+(D19&lt;&gt;"")*(D19&gt;=0)+(E19&lt;&gt;"")*(E19&gt;=0)+(F19&lt;&gt;"")*(F19&gt;=0)+(G19&lt;&gt;"")*(G19&gt;=0)+(H19&lt;&gt;"")*(H19&gt;=0)+(I19&lt;&gt;"")*(I19&gt;=0)+(J19&lt;&gt;"")*(J19&gt;=0)+(K19&lt;&gt;"")*(K19&gt;=0)+(L19&lt;&gt;"")*(L19&gt;=0)+(M19&lt;&gt;"")*(M19&gt;=0)+(N19&lt;&gt;"")*(N19&gt;=0)+(O19&lt;&gt;"")*(O19&gt;=0)+(P19&lt;&gt;"")*(P19&gt;=0)+(Q19&lt;&gt;"")*(Q19&gt;=0)+(R19&lt;&gt;"")*(R19&gt;=0))</f>
        <v/>
      </c>
      <c r="AJ19" s="30">
        <f>COUNTIF(C19:AF19,"W")</f>
        <v/>
      </c>
      <c r="AK19" s="31">
        <f>COUNTIF(C19:AF19,"L")</f>
        <v/>
      </c>
      <c r="AL19" s="32">
        <f>COUNTIF(C19:AF19,"D")</f>
        <v/>
      </c>
      <c r="AM19" s="33">
        <f>AJ19+AK19+AL19</f>
        <v/>
      </c>
    </row>
    <row r="20" ht="19.5" customHeight="1" s="15">
      <c r="A20" s="20" t="n"/>
      <c r="B20" s="21" t="n">
        <v>18</v>
      </c>
      <c r="C20" s="27">
        <f>IF(C20="","",IF(C20&gt;T3,"W",IF(C20&lt;T3,"L","D")))</f>
        <v/>
      </c>
      <c r="D20" s="27">
        <f>IF(D20="","",IF(D20&gt;T4,"W",IF(D20&lt;T4,"L","D")))</f>
        <v/>
      </c>
      <c r="E20" s="27">
        <f>IF(E20="","",IF(E20&gt;T5,"W",IF(E20&lt;T5,"L","D")))</f>
        <v/>
      </c>
      <c r="F20" s="27">
        <f>IF(F20="","",IF(F20&gt;T6,"W",IF(F20&lt;T6,"L","D")))</f>
        <v/>
      </c>
      <c r="G20" s="27">
        <f>IF(G20="","",IF(G20&gt;T7,"W",IF(G20&lt;T7,"L","D")))</f>
        <v/>
      </c>
      <c r="H20" s="27">
        <f>IF(H20="","",IF(H20&gt;T8,"W",IF(H20&lt;T8,"L","D")))</f>
        <v/>
      </c>
      <c r="I20" s="27">
        <f>IF(I20="","",IF(I20&gt;T9,"W",IF(I20&lt;T9,"L","D")))</f>
        <v/>
      </c>
      <c r="J20" s="27">
        <f>IF(J20="","",IF(J20&gt;T10,"W",IF(J20&lt;T10,"L","D")))</f>
        <v/>
      </c>
      <c r="K20" s="27">
        <f>IF(K20="","",IF(K20&gt;T11,"W",IF(K20&lt;T11,"L","D")))</f>
        <v/>
      </c>
      <c r="L20" s="27">
        <f>IF(L20="","",IF(L20&gt;T12,"W",IF(L20&lt;T12,"L","D")))</f>
        <v/>
      </c>
      <c r="M20" s="27">
        <f>IF(M20="","",IF(M20&gt;T13,"W",IF(M20&lt;T13,"L","D")))</f>
        <v/>
      </c>
      <c r="N20" s="27">
        <f>IF(N20="","",IF(N20&gt;T14,"W",IF(N20&lt;T14,"L","D")))</f>
        <v/>
      </c>
      <c r="O20" s="27">
        <f>IF(O20="","",IF(O20&gt;T15,"W",IF(O20&lt;T15,"L","D")))</f>
        <v/>
      </c>
      <c r="P20" s="27">
        <f>IF(P20="","",IF(P20&gt;T16,"W",IF(P20&lt;T16,"L","D")))</f>
        <v/>
      </c>
      <c r="Q20" s="27">
        <f>IF(Q20="","",IF(Q20&gt;T17,"W",IF(Q20&lt;T17,"L","D")))</f>
        <v/>
      </c>
      <c r="R20" s="27">
        <f>IF(R20="","",IF(R20&gt;T18,"W",IF(R20&lt;T18,"L","D")))</f>
        <v/>
      </c>
      <c r="S20" s="27">
        <f>IF(S20="","",IF(S20&gt;T19,"W",IF(S20&lt;T19,"L","D")))</f>
        <v/>
      </c>
      <c r="T20" s="22" t="n"/>
      <c r="U20" s="23">
        <f>IF(U20="","",IF(U20&gt;T21,"W",IF(U20&lt;T21,"L","D")))</f>
        <v/>
      </c>
      <c r="V20" s="23">
        <f>IF(V20="","",IF(V20&gt;T22,"W",IF(V20&lt;T22,"L","D")))</f>
        <v/>
      </c>
      <c r="W20" s="23">
        <f>IF(W20="","",IF(W20&gt;T23,"W",IF(W20&lt;T23,"L","D")))</f>
        <v/>
      </c>
      <c r="X20" s="23">
        <f>IF(X20="","",IF(X20&gt;T24,"W",IF(X20&lt;T24,"L","D")))</f>
        <v/>
      </c>
      <c r="Y20" s="23">
        <f>IF(Y20="","",IF(Y20&gt;T25,"W",IF(Y20&lt;T25,"L","D")))</f>
        <v/>
      </c>
      <c r="Z20" s="23">
        <f>IF(Z20="","",IF(Z20&gt;T26,"W",IF(Z20&lt;T26,"L","D")))</f>
        <v/>
      </c>
      <c r="AA20" s="23">
        <f>IF(AA20="","",IF(AA20&gt;T27,"W",IF(AA20&lt;T27,"L","D")))</f>
        <v/>
      </c>
      <c r="AB20" s="23">
        <f>IF(AB20="","",IF(AB20&gt;T28,"W",IF(AB20&lt;T28,"L","D")))</f>
        <v/>
      </c>
      <c r="AC20" s="23">
        <f>IF(AC20="","",IF(AC20&gt;T29,"W",IF(AC20&lt;T29,"L","D")))</f>
        <v/>
      </c>
      <c r="AD20" s="23">
        <f>IF(AD20="","",IF(AD20&gt;T30,"W",IF(AD20&lt;T30,"L","D")))</f>
        <v/>
      </c>
      <c r="AE20" s="23">
        <f>IF(AE20="","",IF(AE20&gt;T31,"W",IF(AE20&lt;T31,"L","D")))</f>
        <v/>
      </c>
      <c r="AF20" s="23">
        <f>IF(AF20="","",IF(AF20&gt;T32,"W",IF(AF20&lt;T32,"L","D")))</f>
        <v/>
      </c>
      <c r="AG20" s="24">
        <f>SUM(C20:AF20)</f>
        <v/>
      </c>
      <c r="AH20" s="25">
        <f>SUMPRODUCT((U20&lt;&gt;"")*(U20&gt;=0)+(V20&lt;&gt;"")*(V20&gt;=0)+(W20&lt;&gt;"")*(W20&gt;=0)+(X20&lt;&gt;"")*(X20&gt;=0)+(Y20&lt;&gt;"")*(Y20&gt;=0)+(Z20&lt;&gt;"")*(Z20&gt;=0)+(AA20&lt;&gt;"")*(AA20&gt;=0)+(AB20&lt;&gt;"")*(AB20&gt;=0)+(AC20&lt;&gt;"")*(AC20&gt;=0)+(AD20&lt;&gt;"")*(AD20&gt;=0)+(AE20&lt;&gt;"")*(AE20&gt;=0)+(AF20&lt;&gt;"")*(AF20&gt;=0))</f>
        <v/>
      </c>
      <c r="AI20" s="26">
        <f>SUMPRODUCT((C20&lt;&gt;"")*(C20&gt;=0)+(D20&lt;&gt;"")*(D20&gt;=0)+(E20&lt;&gt;"")*(E20&gt;=0)+(F20&lt;&gt;"")*(F20&gt;=0)+(G20&lt;&gt;"")*(G20&gt;=0)+(H20&lt;&gt;"")*(H20&gt;=0)+(I20&lt;&gt;"")*(I20&gt;=0)+(J20&lt;&gt;"")*(J20&gt;=0)+(K20&lt;&gt;"")*(K20&gt;=0)+(L20&lt;&gt;"")*(L20&gt;=0)+(M20&lt;&gt;"")*(M20&gt;=0)+(N20&lt;&gt;"")*(N20&gt;=0)+(O20&lt;&gt;"")*(O20&gt;=0)+(P20&lt;&gt;"")*(P20&gt;=0)+(Q20&lt;&gt;"")*(Q20&gt;=0)+(R20&lt;&gt;"")*(R20&gt;=0)+(S20&lt;&gt;"")*(S20&gt;=0))</f>
        <v/>
      </c>
      <c r="AJ20" s="30">
        <f>COUNTIF(C20:AF20,"W")</f>
        <v/>
      </c>
      <c r="AK20" s="31">
        <f>COUNTIF(C20:AF20,"L")</f>
        <v/>
      </c>
      <c r="AL20" s="32">
        <f>COUNTIF(C20:AF20,"D")</f>
        <v/>
      </c>
      <c r="AM20" s="33">
        <f>AJ20+AK20+AL20</f>
        <v/>
      </c>
    </row>
    <row r="21" ht="19.5" customHeight="1" s="15">
      <c r="A21" s="20" t="n"/>
      <c r="B21" s="21" t="n">
        <v>19</v>
      </c>
      <c r="C21" s="27">
        <f>IF(C21="","",IF(C21&gt;U3,"W",IF(C21&lt;U3,"L","D")))</f>
        <v/>
      </c>
      <c r="D21" s="27">
        <f>IF(D21="","",IF(D21&gt;U4,"W",IF(D21&lt;U4,"L","D")))</f>
        <v/>
      </c>
      <c r="E21" s="27">
        <f>IF(E21="","",IF(E21&gt;U5,"W",IF(E21&lt;U5,"L","D")))</f>
        <v/>
      </c>
      <c r="F21" s="27">
        <f>IF(F21="","",IF(F21&gt;U6,"W",IF(F21&lt;U6,"L","D")))</f>
        <v/>
      </c>
      <c r="G21" s="27">
        <f>IF(G21="","",IF(G21&gt;U7,"W",IF(G21&lt;U7,"L","D")))</f>
        <v/>
      </c>
      <c r="H21" s="27">
        <f>IF(H21="","",IF(H21&gt;U8,"W",IF(H21&lt;U8,"L","D")))</f>
        <v/>
      </c>
      <c r="I21" s="27">
        <f>IF(I21="","",IF(I21&gt;U9,"W",IF(I21&lt;U9,"L","D")))</f>
        <v/>
      </c>
      <c r="J21" s="27">
        <f>IF(J21="","",IF(J21&gt;U10,"W",IF(J21&lt;U10,"L","D")))</f>
        <v/>
      </c>
      <c r="K21" s="27">
        <f>IF(K21="","",IF(K21&gt;U11,"W",IF(K21&lt;U11,"L","D")))</f>
        <v/>
      </c>
      <c r="L21" s="27">
        <f>IF(L21="","",IF(L21&gt;U12,"W",IF(L21&lt;U12,"L","D")))</f>
        <v/>
      </c>
      <c r="M21" s="27">
        <f>IF(M21="","",IF(M21&gt;U13,"W",IF(M21&lt;U13,"L","D")))</f>
        <v/>
      </c>
      <c r="N21" s="27">
        <f>IF(N21="","",IF(N21&gt;U14,"W",IF(N21&lt;U14,"L","D")))</f>
        <v/>
      </c>
      <c r="O21" s="27">
        <f>IF(O21="","",IF(O21&gt;U15,"W",IF(O21&lt;U15,"L","D")))</f>
        <v/>
      </c>
      <c r="P21" s="27">
        <f>IF(P21="","",IF(P21&gt;U16,"W",IF(P21&lt;U16,"L","D")))</f>
        <v/>
      </c>
      <c r="Q21" s="27">
        <f>IF(Q21="","",IF(Q21&gt;U17,"W",IF(Q21&lt;U17,"L","D")))</f>
        <v/>
      </c>
      <c r="R21" s="27">
        <f>IF(R21="","",IF(R21&gt;U18,"W",IF(R21&lt;U18,"L","D")))</f>
        <v/>
      </c>
      <c r="S21" s="27">
        <f>IF(S21="","",IF(S21&gt;U19,"W",IF(S21&lt;U19,"L","D")))</f>
        <v/>
      </c>
      <c r="T21" s="27">
        <f>IF(T21="","",IF(T21&gt;U20,"W",IF(T21&lt;U20,"L","D")))</f>
        <v/>
      </c>
      <c r="U21" s="22" t="n"/>
      <c r="V21" s="23">
        <f>IF(V21="","",IF(V21&gt;U22,"W",IF(V21&lt;U22,"L","D")))</f>
        <v/>
      </c>
      <c r="W21" s="23">
        <f>IF(W21="","",IF(W21&gt;U23,"W",IF(W21&lt;U23,"L","D")))</f>
        <v/>
      </c>
      <c r="X21" s="23">
        <f>IF(X21="","",IF(X21&gt;U24,"W",IF(X21&lt;U24,"L","D")))</f>
        <v/>
      </c>
      <c r="Y21" s="23">
        <f>IF(Y21="","",IF(Y21&gt;U25,"W",IF(Y21&lt;U25,"L","D")))</f>
        <v/>
      </c>
      <c r="Z21" s="23">
        <f>IF(Z21="","",IF(Z21&gt;U26,"W",IF(Z21&lt;U26,"L","D")))</f>
        <v/>
      </c>
      <c r="AA21" s="23">
        <f>IF(AA21="","",IF(AA21&gt;U27,"W",IF(AA21&lt;U27,"L","D")))</f>
        <v/>
      </c>
      <c r="AB21" s="23">
        <f>IF(AB21="","",IF(AB21&gt;U28,"W",IF(AB21&lt;U28,"L","D")))</f>
        <v/>
      </c>
      <c r="AC21" s="23">
        <f>IF(AC21="","",IF(AC21&gt;U29,"W",IF(AC21&lt;U29,"L","D")))</f>
        <v/>
      </c>
      <c r="AD21" s="23">
        <f>IF(AD21="","",IF(AD21&gt;U30,"W",IF(AD21&lt;U30,"L","D")))</f>
        <v/>
      </c>
      <c r="AE21" s="23">
        <f>IF(AE21="","",IF(AE21&gt;U31,"W",IF(AE21&lt;U31,"L","D")))</f>
        <v/>
      </c>
      <c r="AF21" s="23">
        <f>IF(AF21="","",IF(AF21&gt;U32,"W",IF(AF21&lt;U32,"L","D")))</f>
        <v/>
      </c>
      <c r="AG21" s="24">
        <f>SUM(C21:AF21)</f>
        <v/>
      </c>
      <c r="AH21" s="25">
        <f>SUMPRODUCT((V21&lt;&gt;"")*(V21&gt;=0)+(W21&lt;&gt;"")*(W21&gt;=0)+(X21&lt;&gt;"")*(X21&gt;=0)+(Y21&lt;&gt;"")*(Y21&gt;=0)+(Z21&lt;&gt;"")*(Z21&gt;=0)+(AA21&lt;&gt;"")*(AA21&gt;=0)+(AB21&lt;&gt;"")*(AB21&gt;=0)+(AC21&lt;&gt;"")*(AC21&gt;=0)+(AD21&lt;&gt;"")*(AD21&gt;=0)+(AE21&lt;&gt;"")*(AE21&gt;=0)+(AF21&lt;&gt;"")*(AF21&gt;=0))</f>
        <v/>
      </c>
      <c r="AI21" s="26">
        <f>SUMPRODUCT((C21&lt;&gt;"")*(C21&gt;=0)+(D21&lt;&gt;"")*(D21&gt;=0)+(E21&lt;&gt;"")*(E21&gt;=0)+(F21&lt;&gt;"")*(F21&gt;=0)+(G21&lt;&gt;"")*(G21&gt;=0)+(H21&lt;&gt;"")*(H21&gt;=0)+(I21&lt;&gt;"")*(I21&gt;=0)+(J21&lt;&gt;"")*(J21&gt;=0)+(K21&lt;&gt;"")*(K21&gt;=0)+(L21&lt;&gt;"")*(L21&gt;=0)+(M21&lt;&gt;"")*(M21&gt;=0)+(N21&lt;&gt;"")*(N21&gt;=0)+(O21&lt;&gt;"")*(O21&gt;=0)+(P21&lt;&gt;"")*(P21&gt;=0)+(Q21&lt;&gt;"")*(Q21&gt;=0)+(R21&lt;&gt;"")*(R21&gt;=0)+(S21&lt;&gt;"")*(S21&gt;=0)+(T21&lt;&gt;"")*(T21&gt;=0))</f>
        <v/>
      </c>
      <c r="AJ21" s="30">
        <f>COUNTIF(C21:AF21,"W")</f>
        <v/>
      </c>
      <c r="AK21" s="31">
        <f>COUNTIF(C21:AF21,"L")</f>
        <v/>
      </c>
      <c r="AL21" s="32">
        <f>COUNTIF(C21:AF21,"D")</f>
        <v/>
      </c>
      <c r="AM21" s="33">
        <f>AJ21+AK21+AL21</f>
        <v/>
      </c>
    </row>
    <row r="22" ht="19.5" customHeight="1" s="15">
      <c r="A22" s="20" t="n"/>
      <c r="B22" s="21" t="n">
        <v>20</v>
      </c>
      <c r="C22" s="27">
        <f>IF(C22="","",IF(C22&gt;V3,"W",IF(C22&lt;V3,"L","D")))</f>
        <v/>
      </c>
      <c r="D22" s="27">
        <f>IF(D22="","",IF(D22&gt;V4,"W",IF(D22&lt;V4,"L","D")))</f>
        <v/>
      </c>
      <c r="E22" s="27">
        <f>IF(E22="","",IF(E22&gt;V5,"W",IF(E22&lt;V5,"L","D")))</f>
        <v/>
      </c>
      <c r="F22" s="27">
        <f>IF(F22="","",IF(F22&gt;V6,"W",IF(F22&lt;V6,"L","D")))</f>
        <v/>
      </c>
      <c r="G22" s="27">
        <f>IF(G22="","",IF(G22&gt;V7,"W",IF(G22&lt;V7,"L","D")))</f>
        <v/>
      </c>
      <c r="H22" s="27">
        <f>IF(H22="","",IF(H22&gt;V8,"W",IF(H22&lt;V8,"L","D")))</f>
        <v/>
      </c>
      <c r="I22" s="27">
        <f>IF(I22="","",IF(I22&gt;V9,"W",IF(I22&lt;V9,"L","D")))</f>
        <v/>
      </c>
      <c r="J22" s="27">
        <f>IF(J22="","",IF(J22&gt;V10,"W",IF(J22&lt;V10,"L","D")))</f>
        <v/>
      </c>
      <c r="K22" s="27">
        <f>IF(K22="","",IF(K22&gt;V11,"W",IF(K22&lt;V11,"L","D")))</f>
        <v/>
      </c>
      <c r="L22" s="27">
        <f>IF(L22="","",IF(L22&gt;V12,"W",IF(L22&lt;V12,"L","D")))</f>
        <v/>
      </c>
      <c r="M22" s="27">
        <f>IF(M22="","",IF(M22&gt;V13,"W",IF(M22&lt;V13,"L","D")))</f>
        <v/>
      </c>
      <c r="N22" s="27">
        <f>IF(N22="","",IF(N22&gt;V14,"W",IF(N22&lt;V14,"L","D")))</f>
        <v/>
      </c>
      <c r="O22" s="27">
        <f>IF(O22="","",IF(O22&gt;V15,"W",IF(O22&lt;V15,"L","D")))</f>
        <v/>
      </c>
      <c r="P22" s="27">
        <f>IF(P22="","",IF(P22&gt;V16,"W",IF(P22&lt;V16,"L","D")))</f>
        <v/>
      </c>
      <c r="Q22" s="27">
        <f>IF(Q22="","",IF(Q22&gt;V17,"W",IF(Q22&lt;V17,"L","D")))</f>
        <v/>
      </c>
      <c r="R22" s="27">
        <f>IF(R22="","",IF(R22&gt;V18,"W",IF(R22&lt;V18,"L","D")))</f>
        <v/>
      </c>
      <c r="S22" s="27">
        <f>IF(S22="","",IF(S22&gt;V19,"W",IF(S22&lt;V19,"L","D")))</f>
        <v/>
      </c>
      <c r="T22" s="27">
        <f>IF(T22="","",IF(T22&gt;V20,"W",IF(T22&lt;V20,"L","D")))</f>
        <v/>
      </c>
      <c r="U22" s="27">
        <f>IF(U22="","",IF(U22&gt;V21,"W",IF(U22&lt;V21,"L","D")))</f>
        <v/>
      </c>
      <c r="V22" s="22" t="n"/>
      <c r="W22" s="23">
        <f>IF(W22="","",IF(W22&gt;V23,"W",IF(W22&lt;V23,"L","D")))</f>
        <v/>
      </c>
      <c r="X22" s="23">
        <f>IF(X22="","",IF(X22&gt;V24,"W",IF(X22&lt;V24,"L","D")))</f>
        <v/>
      </c>
      <c r="Y22" s="23">
        <f>IF(Y22="","",IF(Y22&gt;V25,"W",IF(Y22&lt;V25,"L","D")))</f>
        <v/>
      </c>
      <c r="Z22" s="23">
        <f>IF(Z22="","",IF(Z22&gt;V26,"W",IF(Z22&lt;V26,"L","D")))</f>
        <v/>
      </c>
      <c r="AA22" s="23">
        <f>IF(AA22="","",IF(AA22&gt;V27,"W",IF(AA22&lt;V27,"L","D")))</f>
        <v/>
      </c>
      <c r="AB22" s="23">
        <f>IF(AB22="","",IF(AB22&gt;V28,"W",IF(AB22&lt;V28,"L","D")))</f>
        <v/>
      </c>
      <c r="AC22" s="23">
        <f>IF(AC22="","",IF(AC22&gt;V29,"W",IF(AC22&lt;V29,"L","D")))</f>
        <v/>
      </c>
      <c r="AD22" s="23">
        <f>IF(AD22="","",IF(AD22&gt;V30,"W",IF(AD22&lt;V30,"L","D")))</f>
        <v/>
      </c>
      <c r="AE22" s="23">
        <f>IF(AE22="","",IF(AE22&gt;V31,"W",IF(AE22&lt;V31,"L","D")))</f>
        <v/>
      </c>
      <c r="AF22" s="23">
        <f>IF(AF22="","",IF(AF22&gt;V32,"W",IF(AF22&lt;V32,"L","D")))</f>
        <v/>
      </c>
      <c r="AG22" s="24">
        <f>SUM(C22:AF22)</f>
        <v/>
      </c>
      <c r="AH22" s="25">
        <f>SUMPRODUCT((W22&lt;&gt;"")*(W22&gt;=0)+(X22&lt;&gt;"")*(X22&gt;=0)+(Y22&lt;&gt;"")*(Y22&gt;=0)+(Z22&lt;&gt;"")*(Z22&gt;=0)+(AA22&lt;&gt;"")*(AA22&gt;=0)+(AB22&lt;&gt;"")*(AB22&gt;=0)+(AC22&lt;&gt;"")*(AC22&gt;=0)+(AD22&lt;&gt;"")*(AD22&gt;=0)+(AE22&lt;&gt;"")*(AE22&gt;=0)+(AF22&lt;&gt;"")*(AF22&gt;=0))</f>
        <v/>
      </c>
      <c r="AI22" s="26">
        <f>SUMPRODUCT((C22&lt;&gt;"")*(C22&gt;=0)+(D22&lt;&gt;"")*(D22&gt;=0)+(E22&lt;&gt;"")*(E22&gt;=0)+(F22&lt;&gt;"")*(F22&gt;=0)+(G22&lt;&gt;"")*(G22&gt;=0)+(H22&lt;&gt;"")*(H22&gt;=0)+(I22&lt;&gt;"")*(I22&gt;=0)+(J22&lt;&gt;"")*(J22&gt;=0)+(K22&lt;&gt;"")*(K22&gt;=0)+(L22&lt;&gt;"")*(L22&gt;=0)+(M22&lt;&gt;"")*(M22&gt;=0)+(N22&lt;&gt;"")*(N22&gt;=0)+(O22&lt;&gt;"")*(O22&gt;=0)+(P22&lt;&gt;"")*(P22&gt;=0)+(Q22&lt;&gt;"")*(Q22&gt;=0)+(R22&lt;&gt;"")*(R22&gt;=0)+(S22&lt;&gt;"")*(S22&gt;=0)+(T22&lt;&gt;"")*(T22&gt;=0)+(U22&lt;&gt;"")*(U22&gt;=0))</f>
        <v/>
      </c>
      <c r="AJ22" s="30">
        <f>COUNTIF(C22:AF22,"W")</f>
        <v/>
      </c>
      <c r="AK22" s="31">
        <f>COUNTIF(C22:AF22,"L")</f>
        <v/>
      </c>
      <c r="AL22" s="32">
        <f>COUNTIF(C22:AF22,"D")</f>
        <v/>
      </c>
      <c r="AM22" s="33">
        <f>AJ22+AK22+AL22</f>
        <v/>
      </c>
    </row>
    <row r="23" ht="19.5" customHeight="1" s="15">
      <c r="A23" s="20" t="n"/>
      <c r="B23" s="21" t="n">
        <v>21</v>
      </c>
      <c r="C23" s="27">
        <f>IF(C23="","",IF(C23&gt;W3,"W",IF(C23&lt;W3,"L","D")))</f>
        <v/>
      </c>
      <c r="D23" s="27">
        <f>IF(D23="","",IF(D23&gt;W4,"W",IF(D23&lt;W4,"L","D")))</f>
        <v/>
      </c>
      <c r="E23" s="27">
        <f>IF(E23="","",IF(E23&gt;W5,"W",IF(E23&lt;W5,"L","D")))</f>
        <v/>
      </c>
      <c r="F23" s="27">
        <f>IF(F23="","",IF(F23&gt;W6,"W",IF(F23&lt;W6,"L","D")))</f>
        <v/>
      </c>
      <c r="G23" s="27">
        <f>IF(G23="","",IF(G23&gt;W7,"W",IF(G23&lt;W7,"L","D")))</f>
        <v/>
      </c>
      <c r="H23" s="27">
        <f>IF(H23="","",IF(H23&gt;W8,"W",IF(H23&lt;W8,"L","D")))</f>
        <v/>
      </c>
      <c r="I23" s="27">
        <f>IF(I23="","",IF(I23&gt;W9,"W",IF(I23&lt;W9,"L","D")))</f>
        <v/>
      </c>
      <c r="J23" s="27">
        <f>IF(J23="","",IF(J23&gt;W10,"W",IF(J23&lt;W10,"L","D")))</f>
        <v/>
      </c>
      <c r="K23" s="27">
        <f>IF(K23="","",IF(K23&gt;W11,"W",IF(K23&lt;W11,"L","D")))</f>
        <v/>
      </c>
      <c r="L23" s="27">
        <f>IF(L23="","",IF(L23&gt;W12,"W",IF(L23&lt;W12,"L","D")))</f>
        <v/>
      </c>
      <c r="M23" s="27">
        <f>IF(M23="","",IF(M23&gt;W13,"W",IF(M23&lt;W13,"L","D")))</f>
        <v/>
      </c>
      <c r="N23" s="27">
        <f>IF(N23="","",IF(N23&gt;W14,"W",IF(N23&lt;W14,"L","D")))</f>
        <v/>
      </c>
      <c r="O23" s="27">
        <f>IF(O23="","",IF(O23&gt;W15,"W",IF(O23&lt;W15,"L","D")))</f>
        <v/>
      </c>
      <c r="P23" s="27">
        <f>IF(P23="","",IF(P23&gt;W16,"W",IF(P23&lt;W16,"L","D")))</f>
        <v/>
      </c>
      <c r="Q23" s="27">
        <f>IF(Q23="","",IF(Q23&gt;W17,"W",IF(Q23&lt;W17,"L","D")))</f>
        <v/>
      </c>
      <c r="R23" s="27">
        <f>IF(R23="","",IF(R23&gt;W18,"W",IF(R23&lt;W18,"L","D")))</f>
        <v/>
      </c>
      <c r="S23" s="27">
        <f>IF(S23="","",IF(S23&gt;W19,"W",IF(S23&lt;W19,"L","D")))</f>
        <v/>
      </c>
      <c r="T23" s="27">
        <f>IF(T23="","",IF(T23&gt;W20,"W",IF(T23&lt;W20,"L","D")))</f>
        <v/>
      </c>
      <c r="U23" s="27">
        <f>IF(U23="","",IF(U23&gt;W21,"W",IF(U23&lt;W21,"L","D")))</f>
        <v/>
      </c>
      <c r="V23" s="27">
        <f>IF(V23="","",IF(V23&gt;W22,"W",IF(V23&lt;W22,"L","D")))</f>
        <v/>
      </c>
      <c r="W23" s="22" t="n"/>
      <c r="X23" s="23">
        <f>IF(X23="","",IF(X23&gt;W24,"W",IF(X23&lt;W24,"L","D")))</f>
        <v/>
      </c>
      <c r="Y23" s="23">
        <f>IF(Y23="","",IF(Y23&gt;W25,"W",IF(Y23&lt;W25,"L","D")))</f>
        <v/>
      </c>
      <c r="Z23" s="23">
        <f>IF(Z23="","",IF(Z23&gt;W26,"W",IF(Z23&lt;W26,"L","D")))</f>
        <v/>
      </c>
      <c r="AA23" s="23">
        <f>IF(AA23="","",IF(AA23&gt;W27,"W",IF(AA23&lt;W27,"L","D")))</f>
        <v/>
      </c>
      <c r="AB23" s="23">
        <f>IF(AB23="","",IF(AB23&gt;W28,"W",IF(AB23&lt;W28,"L","D")))</f>
        <v/>
      </c>
      <c r="AC23" s="23">
        <f>IF(AC23="","",IF(AC23&gt;W29,"W",IF(AC23&lt;W29,"L","D")))</f>
        <v/>
      </c>
      <c r="AD23" s="23">
        <f>IF(AD23="","",IF(AD23&gt;W30,"W",IF(AD23&lt;W30,"L","D")))</f>
        <v/>
      </c>
      <c r="AE23" s="23">
        <f>IF(AE23="","",IF(AE23&gt;W31,"W",IF(AE23&lt;W31,"L","D")))</f>
        <v/>
      </c>
      <c r="AF23" s="23">
        <f>IF(AF23="","",IF(AF23&gt;W32,"W",IF(AF23&lt;W32,"L","D")))</f>
        <v/>
      </c>
      <c r="AG23" s="24">
        <f>SUM(C23:AF23)</f>
        <v/>
      </c>
      <c r="AH23" s="25">
        <f>SUMPRODUCT((X23&lt;&gt;"")*(X23&gt;=0)+(Y23&lt;&gt;"")*(Y23&gt;=0)+(Z23&lt;&gt;"")*(Z23&gt;=0)+(AA23&lt;&gt;"")*(AA23&gt;=0)+(AB23&lt;&gt;"")*(AB23&gt;=0)+(AC23&lt;&gt;"")*(AC23&gt;=0)+(AD23&lt;&gt;"")*(AD23&gt;=0)+(AE23&lt;&gt;"")*(AE23&gt;=0)+(AF23&lt;&gt;"")*(AF23&gt;=0))</f>
        <v/>
      </c>
      <c r="AI23" s="26">
        <f>SUMPRODUCT((C23&lt;&gt;"")*(C23&gt;=0)+(D23&lt;&gt;"")*(D23&gt;=0)+(E23&lt;&gt;"")*(E23&gt;=0)+(F23&lt;&gt;"")*(F23&gt;=0)+(G23&lt;&gt;"")*(G23&gt;=0)+(H23&lt;&gt;"")*(H23&gt;=0)+(I23&lt;&gt;"")*(I23&gt;=0)+(J23&lt;&gt;"")*(J23&gt;=0)+(K23&lt;&gt;"")*(K23&gt;=0)+(L23&lt;&gt;"")*(L23&gt;=0)+(M23&lt;&gt;"")*(M23&gt;=0)+(N23&lt;&gt;"")*(N23&gt;=0)+(O23&lt;&gt;"")*(O23&gt;=0)+(P23&lt;&gt;"")*(P23&gt;=0)+(Q23&lt;&gt;"")*(Q23&gt;=0)+(R23&lt;&gt;"")*(R23&gt;=0)+(S23&lt;&gt;"")*(S23&gt;=0)+(T23&lt;&gt;"")*(T23&gt;=0)+(U23&lt;&gt;"")*(U23&gt;=0)+(V23&lt;&gt;"")*(V23&gt;=0))</f>
        <v/>
      </c>
      <c r="AJ23" s="30">
        <f>COUNTIF(C23:AF23,"W")</f>
        <v/>
      </c>
      <c r="AK23" s="31">
        <f>COUNTIF(C23:AF23,"L")</f>
        <v/>
      </c>
      <c r="AL23" s="32">
        <f>COUNTIF(C23:AF23,"D")</f>
        <v/>
      </c>
      <c r="AM23" s="33">
        <f>AJ23+AK23+AL23</f>
        <v/>
      </c>
    </row>
    <row r="24" ht="19.5" customHeight="1" s="15">
      <c r="A24" s="20" t="n"/>
      <c r="B24" s="21" t="n">
        <v>22</v>
      </c>
      <c r="C24" s="27">
        <f>IF(C24="","",IF(C24&gt;X3,"W",IF(C24&lt;X3,"L","D")))</f>
        <v/>
      </c>
      <c r="D24" s="27">
        <f>IF(D24="","",IF(D24&gt;X4,"W",IF(D24&lt;X4,"L","D")))</f>
        <v/>
      </c>
      <c r="E24" s="27">
        <f>IF(E24="","",IF(E24&gt;X5,"W",IF(E24&lt;X5,"L","D")))</f>
        <v/>
      </c>
      <c r="F24" s="27">
        <f>IF(F24="","",IF(F24&gt;X6,"W",IF(F24&lt;X6,"L","D")))</f>
        <v/>
      </c>
      <c r="G24" s="27">
        <f>IF(G24="","",IF(G24&gt;X7,"W",IF(G24&lt;X7,"L","D")))</f>
        <v/>
      </c>
      <c r="H24" s="27">
        <f>IF(H24="","",IF(H24&gt;X8,"W",IF(H24&lt;X8,"L","D")))</f>
        <v/>
      </c>
      <c r="I24" s="27">
        <f>IF(I24="","",IF(I24&gt;X9,"W",IF(I24&lt;X9,"L","D")))</f>
        <v/>
      </c>
      <c r="J24" s="27">
        <f>IF(J24="","",IF(J24&gt;X10,"W",IF(J24&lt;X10,"L","D")))</f>
        <v/>
      </c>
      <c r="K24" s="27">
        <f>IF(K24="","",IF(K24&gt;X11,"W",IF(K24&lt;X11,"L","D")))</f>
        <v/>
      </c>
      <c r="L24" s="27">
        <f>IF(L24="","",IF(L24&gt;X12,"W",IF(L24&lt;X12,"L","D")))</f>
        <v/>
      </c>
      <c r="M24" s="27">
        <f>IF(M24="","",IF(M24&gt;X13,"W",IF(M24&lt;X13,"L","D")))</f>
        <v/>
      </c>
      <c r="N24" s="27">
        <f>IF(N24="","",IF(N24&gt;X14,"W",IF(N24&lt;X14,"L","D")))</f>
        <v/>
      </c>
      <c r="O24" s="27">
        <f>IF(O24="","",IF(O24&gt;X15,"W",IF(O24&lt;X15,"L","D")))</f>
        <v/>
      </c>
      <c r="P24" s="27">
        <f>IF(P24="","",IF(P24&gt;X16,"W",IF(P24&lt;X16,"L","D")))</f>
        <v/>
      </c>
      <c r="Q24" s="27">
        <f>IF(Q24="","",IF(Q24&gt;X17,"W",IF(Q24&lt;X17,"L","D")))</f>
        <v/>
      </c>
      <c r="R24" s="27">
        <f>IF(R24="","",IF(R24&gt;X18,"W",IF(R24&lt;X18,"L","D")))</f>
        <v/>
      </c>
      <c r="S24" s="27">
        <f>IF(S24="","",IF(S24&gt;X19,"W",IF(S24&lt;X19,"L","D")))</f>
        <v/>
      </c>
      <c r="T24" s="27">
        <f>IF(T24="","",IF(T24&gt;X20,"W",IF(T24&lt;X20,"L","D")))</f>
        <v/>
      </c>
      <c r="U24" s="27">
        <f>IF(U24="","",IF(U24&gt;X21,"W",IF(U24&lt;X21,"L","D")))</f>
        <v/>
      </c>
      <c r="V24" s="27">
        <f>IF(V24="","",IF(V24&gt;X22,"W",IF(V24&lt;X22,"L","D")))</f>
        <v/>
      </c>
      <c r="W24" s="27">
        <f>IF(W24="","",IF(W24&gt;X23,"W",IF(W24&lt;X23,"L","D")))</f>
        <v/>
      </c>
      <c r="X24" s="22" t="n"/>
      <c r="Y24" s="23">
        <f>IF(Y24="","",IF(Y24&gt;X25,"W",IF(Y24&lt;X25,"L","D")))</f>
        <v/>
      </c>
      <c r="Z24" s="23">
        <f>IF(Z24="","",IF(Z24&gt;X26,"W",IF(Z24&lt;X26,"L","D")))</f>
        <v/>
      </c>
      <c r="AA24" s="23">
        <f>IF(AA24="","",IF(AA24&gt;X27,"W",IF(AA24&lt;X27,"L","D")))</f>
        <v/>
      </c>
      <c r="AB24" s="23">
        <f>IF(AB24="","",IF(AB24&gt;X28,"W",IF(AB24&lt;X28,"L","D")))</f>
        <v/>
      </c>
      <c r="AC24" s="23">
        <f>IF(AC24="","",IF(AC24&gt;X29,"W",IF(AC24&lt;X29,"L","D")))</f>
        <v/>
      </c>
      <c r="AD24" s="23">
        <f>IF(AD24="","",IF(AD24&gt;X30,"W",IF(AD24&lt;X30,"L","D")))</f>
        <v/>
      </c>
      <c r="AE24" s="23">
        <f>IF(AE24="","",IF(AE24&gt;X31,"W",IF(AE24&lt;X31,"L","D")))</f>
        <v/>
      </c>
      <c r="AF24" s="23">
        <f>IF(AF24="","",IF(AF24&gt;X32,"W",IF(AF24&lt;X32,"L","D")))</f>
        <v/>
      </c>
      <c r="AG24" s="24">
        <f>SUM(C24:AF24)</f>
        <v/>
      </c>
      <c r="AH24" s="25">
        <f>SUMPRODUCT((Y24&lt;&gt;"")*(Y24&gt;=0)+(Z24&lt;&gt;"")*(Z24&gt;=0)+(AA24&lt;&gt;"")*(AA24&gt;=0)+(AB24&lt;&gt;"")*(AB24&gt;=0)+(AC24&lt;&gt;"")*(AC24&gt;=0)+(AD24&lt;&gt;"")*(AD24&gt;=0)+(AE24&lt;&gt;"")*(AE24&gt;=0)+(AF24&lt;&gt;"")*(AF24&gt;=0))</f>
        <v/>
      </c>
      <c r="AI24" s="26">
        <f>SUMPRODUCT((C24&lt;&gt;"")*(C24&gt;=0)+(D24&lt;&gt;"")*(D24&gt;=0)+(E24&lt;&gt;"")*(E24&gt;=0)+(F24&lt;&gt;"")*(F24&gt;=0)+(G24&lt;&gt;"")*(G24&gt;=0)+(H24&lt;&gt;"")*(H24&gt;=0)+(I24&lt;&gt;"")*(I24&gt;=0)+(J24&lt;&gt;"")*(J24&gt;=0)+(K24&lt;&gt;"")*(K24&gt;=0)+(L24&lt;&gt;"")*(L24&gt;=0)+(M24&lt;&gt;"")*(M24&gt;=0)+(N24&lt;&gt;"")*(N24&gt;=0)+(O24&lt;&gt;"")*(O24&gt;=0)+(P24&lt;&gt;"")*(P24&gt;=0)+(Q24&lt;&gt;"")*(Q24&gt;=0)+(R24&lt;&gt;"")*(R24&gt;=0)+(S24&lt;&gt;"")*(S24&gt;=0)+(T24&lt;&gt;"")*(T24&gt;=0)+(U24&lt;&gt;"")*(U24&gt;=0)+(V24&lt;&gt;"")*(V24&gt;=0)+(W24&lt;&gt;"")*(W24&gt;=0))</f>
        <v/>
      </c>
      <c r="AJ24" s="30">
        <f>COUNTIF(C24:AF24,"W")</f>
        <v/>
      </c>
      <c r="AK24" s="31">
        <f>COUNTIF(C24:AF24,"L")</f>
        <v/>
      </c>
      <c r="AL24" s="32">
        <f>COUNTIF(C24:AF24,"D")</f>
        <v/>
      </c>
      <c r="AM24" s="33">
        <f>AJ24+AK24+AL24</f>
        <v/>
      </c>
    </row>
    <row r="25" ht="19.5" customHeight="1" s="15">
      <c r="A25" s="20" t="n"/>
      <c r="B25" s="21" t="n">
        <v>23</v>
      </c>
      <c r="C25" s="27">
        <f>IF(C25="","",IF(C25&gt;Y3,"W",IF(C25&lt;Y3,"L","D")))</f>
        <v/>
      </c>
      <c r="D25" s="27">
        <f>IF(D25="","",IF(D25&gt;Y4,"W",IF(D25&lt;Y4,"L","D")))</f>
        <v/>
      </c>
      <c r="E25" s="27">
        <f>IF(E25="","",IF(E25&gt;Y5,"W",IF(E25&lt;Y5,"L","D")))</f>
        <v/>
      </c>
      <c r="F25" s="27">
        <f>IF(F25="","",IF(F25&gt;Y6,"W",IF(F25&lt;Y6,"L","D")))</f>
        <v/>
      </c>
      <c r="G25" s="27">
        <f>IF(G25="","",IF(G25&gt;Y7,"W",IF(G25&lt;Y7,"L","D")))</f>
        <v/>
      </c>
      <c r="H25" s="27">
        <f>IF(H25="","",IF(H25&gt;Y8,"W",IF(H25&lt;Y8,"L","D")))</f>
        <v/>
      </c>
      <c r="I25" s="27">
        <f>IF(I25="","",IF(I25&gt;Y9,"W",IF(I25&lt;Y9,"L","D")))</f>
        <v/>
      </c>
      <c r="J25" s="27">
        <f>IF(J25="","",IF(J25&gt;Y10,"W",IF(J25&lt;Y10,"L","D")))</f>
        <v/>
      </c>
      <c r="K25" s="27">
        <f>IF(K25="","",IF(K25&gt;Y11,"W",IF(K25&lt;Y11,"L","D")))</f>
        <v/>
      </c>
      <c r="L25" s="27">
        <f>IF(L25="","",IF(L25&gt;Y12,"W",IF(L25&lt;Y12,"L","D")))</f>
        <v/>
      </c>
      <c r="M25" s="27">
        <f>IF(M25="","",IF(M25&gt;Y13,"W",IF(M25&lt;Y13,"L","D")))</f>
        <v/>
      </c>
      <c r="N25" s="27">
        <f>IF(N25="","",IF(N25&gt;Y14,"W",IF(N25&lt;Y14,"L","D")))</f>
        <v/>
      </c>
      <c r="O25" s="27">
        <f>IF(O25="","",IF(O25&gt;Y15,"W",IF(O25&lt;Y15,"L","D")))</f>
        <v/>
      </c>
      <c r="P25" s="27">
        <f>IF(P25="","",IF(P25&gt;Y16,"W",IF(P25&lt;Y16,"L","D")))</f>
        <v/>
      </c>
      <c r="Q25" s="27">
        <f>IF(Q25="","",IF(Q25&gt;Y17,"W",IF(Q25&lt;Y17,"L","D")))</f>
        <v/>
      </c>
      <c r="R25" s="27">
        <f>IF(R25="","",IF(R25&gt;Y18,"W",IF(R25&lt;Y18,"L","D")))</f>
        <v/>
      </c>
      <c r="S25" s="27">
        <f>IF(S25="","",IF(S25&gt;Y19,"W",IF(S25&lt;Y19,"L","D")))</f>
        <v/>
      </c>
      <c r="T25" s="27">
        <f>IF(T25="","",IF(T25&gt;Y20,"W",IF(T25&lt;Y20,"L","D")))</f>
        <v/>
      </c>
      <c r="U25" s="27">
        <f>IF(U25="","",IF(U25&gt;Y21,"W",IF(U25&lt;Y21,"L","D")))</f>
        <v/>
      </c>
      <c r="V25" s="27">
        <f>IF(V25="","",IF(V25&gt;Y22,"W",IF(V25&lt;Y22,"L","D")))</f>
        <v/>
      </c>
      <c r="W25" s="27">
        <f>IF(W25="","",IF(W25&gt;Y23,"W",IF(W25&lt;Y23,"L","D")))</f>
        <v/>
      </c>
      <c r="X25" s="27">
        <f>IF(X25="","",IF(X25&gt;Y24,"W",IF(X25&lt;Y24,"L","D")))</f>
        <v/>
      </c>
      <c r="Y25" s="22" t="n"/>
      <c r="Z25" s="23">
        <f>IF(Z25="","",IF(Z25&gt;Y26,"W",IF(Z25&lt;Y26,"L","D")))</f>
        <v/>
      </c>
      <c r="AA25" s="23">
        <f>IF(AA25="","",IF(AA25&gt;Y27,"W",IF(AA25&lt;Y27,"L","D")))</f>
        <v/>
      </c>
      <c r="AB25" s="23">
        <f>IF(AB25="","",IF(AB25&gt;Y28,"W",IF(AB25&lt;Y28,"L","D")))</f>
        <v/>
      </c>
      <c r="AC25" s="23">
        <f>IF(AC25="","",IF(AC25&gt;Y29,"W",IF(AC25&lt;Y29,"L","D")))</f>
        <v/>
      </c>
      <c r="AD25" s="23">
        <f>IF(AD25="","",IF(AD25&gt;Y30,"W",IF(AD25&lt;Y30,"L","D")))</f>
        <v/>
      </c>
      <c r="AE25" s="23">
        <f>IF(AE25="","",IF(AE25&gt;Y31,"W",IF(AE25&lt;Y31,"L","D")))</f>
        <v/>
      </c>
      <c r="AF25" s="23">
        <f>IF(AF25="","",IF(AF25&gt;Y32,"W",IF(AF25&lt;Y32,"L","D")))</f>
        <v/>
      </c>
      <c r="AG25" s="24">
        <f>SUM(C25:AF25)</f>
        <v/>
      </c>
      <c r="AH25" s="25">
        <f>SUMPRODUCT((Z25&lt;&gt;"")*(Z25&gt;=0)+(AA25&lt;&gt;"")*(AA25&gt;=0)+(AB25&lt;&gt;"")*(AB25&gt;=0)+(AC25&lt;&gt;"")*(AC25&gt;=0)+(AD25&lt;&gt;"")*(AD25&gt;=0)+(AE25&lt;&gt;"")*(AE25&gt;=0)+(AF25&lt;&gt;"")*(AF25&gt;=0))</f>
        <v/>
      </c>
      <c r="AI25" s="26">
        <f>SUMPRODUCT((C25&lt;&gt;"")*(C25&gt;=0)+(D25&lt;&gt;"")*(D25&gt;=0)+(E25&lt;&gt;"")*(E25&gt;=0)+(F25&lt;&gt;"")*(F25&gt;=0)+(G25&lt;&gt;"")*(G25&gt;=0)+(H25&lt;&gt;"")*(H25&gt;=0)+(I25&lt;&gt;"")*(I25&gt;=0)+(J25&lt;&gt;"")*(J25&gt;=0)+(K25&lt;&gt;"")*(K25&gt;=0)+(L25&lt;&gt;"")*(L25&gt;=0)+(M25&lt;&gt;"")*(M25&gt;=0)+(N25&lt;&gt;"")*(N25&gt;=0)+(O25&lt;&gt;"")*(O25&gt;=0)+(P25&lt;&gt;"")*(P25&gt;=0)+(Q25&lt;&gt;"")*(Q25&gt;=0)+(R25&lt;&gt;"")*(R25&gt;=0)+(S25&lt;&gt;"")*(S25&gt;=0)+(T25&lt;&gt;"")*(T25&gt;=0)+(U25&lt;&gt;"")*(U25&gt;=0)+(V25&lt;&gt;"")*(V25&gt;=0)+(W25&lt;&gt;"")*(W25&gt;=0)+(X25&lt;&gt;"")*(X25&gt;=0))</f>
        <v/>
      </c>
      <c r="AJ25" s="30">
        <f>COUNTIF(C25:AF25,"W")</f>
        <v/>
      </c>
      <c r="AK25" s="31">
        <f>COUNTIF(C25:AF25,"L")</f>
        <v/>
      </c>
      <c r="AL25" s="32">
        <f>COUNTIF(C25:AF25,"D")</f>
        <v/>
      </c>
      <c r="AM25" s="33">
        <f>AJ25+AK25+AL25</f>
        <v/>
      </c>
    </row>
    <row r="26" ht="19.5" customHeight="1" s="15">
      <c r="A26" s="20" t="n"/>
      <c r="B26" s="21" t="n">
        <v>24</v>
      </c>
      <c r="C26" s="27">
        <f>IF(C26="","",IF(C26&gt;Z3,"W",IF(C26&lt;Z3,"L","D")))</f>
        <v/>
      </c>
      <c r="D26" s="27">
        <f>IF(D26="","",IF(D26&gt;Z4,"W",IF(D26&lt;Z4,"L","D")))</f>
        <v/>
      </c>
      <c r="E26" s="27">
        <f>IF(E26="","",IF(E26&gt;Z5,"W",IF(E26&lt;Z5,"L","D")))</f>
        <v/>
      </c>
      <c r="F26" s="27">
        <f>IF(F26="","",IF(F26&gt;Z6,"W",IF(F26&lt;Z6,"L","D")))</f>
        <v/>
      </c>
      <c r="G26" s="27">
        <f>IF(G26="","",IF(G26&gt;Z7,"W",IF(G26&lt;Z7,"L","D")))</f>
        <v/>
      </c>
      <c r="H26" s="27">
        <f>IF(H26="","",IF(H26&gt;Z8,"W",IF(H26&lt;Z8,"L","D")))</f>
        <v/>
      </c>
      <c r="I26" s="27">
        <f>IF(I26="","",IF(I26&gt;Z9,"W",IF(I26&lt;Z9,"L","D")))</f>
        <v/>
      </c>
      <c r="J26" s="27">
        <f>IF(J26="","",IF(J26&gt;Z10,"W",IF(J26&lt;Z10,"L","D")))</f>
        <v/>
      </c>
      <c r="K26" s="27">
        <f>IF(K26="","",IF(K26&gt;Z11,"W",IF(K26&lt;Z11,"L","D")))</f>
        <v/>
      </c>
      <c r="L26" s="27">
        <f>IF(L26="","",IF(L26&gt;Z12,"W",IF(L26&lt;Z12,"L","D")))</f>
        <v/>
      </c>
      <c r="M26" s="27">
        <f>IF(M26="","",IF(M26&gt;Z13,"W",IF(M26&lt;Z13,"L","D")))</f>
        <v/>
      </c>
      <c r="N26" s="27">
        <f>IF(N26="","",IF(N26&gt;Z14,"W",IF(N26&lt;Z14,"L","D")))</f>
        <v/>
      </c>
      <c r="O26" s="27">
        <f>IF(O26="","",IF(O26&gt;Z15,"W",IF(O26&lt;Z15,"L","D")))</f>
        <v/>
      </c>
      <c r="P26" s="27">
        <f>IF(P26="","",IF(P26&gt;Z16,"W",IF(P26&lt;Z16,"L","D")))</f>
        <v/>
      </c>
      <c r="Q26" s="27">
        <f>IF(Q26="","",IF(Q26&gt;Z17,"W",IF(Q26&lt;Z17,"L","D")))</f>
        <v/>
      </c>
      <c r="R26" s="27">
        <f>IF(R26="","",IF(R26&gt;Z18,"W",IF(R26&lt;Z18,"L","D")))</f>
        <v/>
      </c>
      <c r="S26" s="27">
        <f>IF(S26="","",IF(S26&gt;Z19,"W",IF(S26&lt;Z19,"L","D")))</f>
        <v/>
      </c>
      <c r="T26" s="27">
        <f>IF(T26="","",IF(T26&gt;Z20,"W",IF(T26&lt;Z20,"L","D")))</f>
        <v/>
      </c>
      <c r="U26" s="27">
        <f>IF(U26="","",IF(U26&gt;Z21,"W",IF(U26&lt;Z21,"L","D")))</f>
        <v/>
      </c>
      <c r="V26" s="27">
        <f>IF(V26="","",IF(V26&gt;Z22,"W",IF(V26&lt;Z22,"L","D")))</f>
        <v/>
      </c>
      <c r="W26" s="27">
        <f>IF(W26="","",IF(W26&gt;Z23,"W",IF(W26&lt;Z23,"L","D")))</f>
        <v/>
      </c>
      <c r="X26" s="27">
        <f>IF(X26="","",IF(X26&gt;Z24,"W",IF(X26&lt;Z24,"L","D")))</f>
        <v/>
      </c>
      <c r="Y26" s="27">
        <f>IF(Y26="","",IF(Y26&gt;Z25,"W",IF(Y26&lt;Z25,"L","D")))</f>
        <v/>
      </c>
      <c r="Z26" s="22" t="n"/>
      <c r="AA26" s="23">
        <f>IF(AA26="","",IF(AA26&gt;Z27,"W",IF(AA26&lt;Z27,"L","D")))</f>
        <v/>
      </c>
      <c r="AB26" s="23">
        <f>IF(AB26="","",IF(AB26&gt;Z28,"W",IF(AB26&lt;Z28,"L","D")))</f>
        <v/>
      </c>
      <c r="AC26" s="23">
        <f>IF(AC26="","",IF(AC26&gt;Z29,"W",IF(AC26&lt;Z29,"L","D")))</f>
        <v/>
      </c>
      <c r="AD26" s="23">
        <f>IF(AD26="","",IF(AD26&gt;Z30,"W",IF(AD26&lt;Z30,"L","D")))</f>
        <v/>
      </c>
      <c r="AE26" s="23">
        <f>IF(AE26="","",IF(AE26&gt;Z31,"W",IF(AE26&lt;Z31,"L","D")))</f>
        <v/>
      </c>
      <c r="AF26" s="23">
        <f>IF(AF26="","",IF(AF26&gt;Z32,"W",IF(AF26&lt;Z32,"L","D")))</f>
        <v/>
      </c>
      <c r="AG26" s="24">
        <f>SUM(C26:AF26)</f>
        <v/>
      </c>
      <c r="AH26" s="25">
        <f>SUMPRODUCT((AA26&lt;&gt;"")*(AA26&gt;=0)+(AB26&lt;&gt;"")*(AB26&gt;=0)+(AC26&lt;&gt;"")*(AC26&gt;=0)+(AD26&lt;&gt;"")*(AD26&gt;=0)+(AE26&lt;&gt;"")*(AE26&gt;=0)+(AF26&lt;&gt;"")*(AF26&gt;=0))</f>
        <v/>
      </c>
      <c r="AI26" s="26">
        <f>SUMPRODUCT((C26&lt;&gt;"")*(C26&gt;=0)+(D26&lt;&gt;"")*(D26&gt;=0)+(E26&lt;&gt;"")*(E26&gt;=0)+(F26&lt;&gt;"")*(F26&gt;=0)+(G26&lt;&gt;"")*(G26&gt;=0)+(H26&lt;&gt;"")*(H26&gt;=0)+(I26&lt;&gt;"")*(I26&gt;=0)+(J26&lt;&gt;"")*(J26&gt;=0)+(K26&lt;&gt;"")*(K26&gt;=0)+(L26&lt;&gt;"")*(L26&gt;=0)+(M26&lt;&gt;"")*(M26&gt;=0)+(N26&lt;&gt;"")*(N26&gt;=0)+(O26&lt;&gt;"")*(O26&gt;=0)+(P26&lt;&gt;"")*(P26&gt;=0)+(Q26&lt;&gt;"")*(Q26&gt;=0)+(R26&lt;&gt;"")*(R26&gt;=0)+(S26&lt;&gt;"")*(S26&gt;=0)+(T26&lt;&gt;"")*(T26&gt;=0)+(U26&lt;&gt;"")*(U26&gt;=0)+(V26&lt;&gt;"")*(V26&gt;=0)+(W26&lt;&gt;"")*(W26&gt;=0)+(X26&lt;&gt;"")*(X26&gt;=0)+(Y26&lt;&gt;"")*(Y26&gt;=0))</f>
        <v/>
      </c>
      <c r="AJ26" s="30">
        <f>COUNTIF(C26:AF26,"W")</f>
        <v/>
      </c>
      <c r="AK26" s="31">
        <f>COUNTIF(C26:AF26,"L")</f>
        <v/>
      </c>
      <c r="AL26" s="32">
        <f>COUNTIF(C26:AF26,"D")</f>
        <v/>
      </c>
      <c r="AM26" s="33">
        <f>AJ26+AK26+AL26</f>
        <v/>
      </c>
    </row>
    <row r="27" ht="19.5" customHeight="1" s="15">
      <c r="A27" s="20" t="n"/>
      <c r="B27" s="21" t="n">
        <v>25</v>
      </c>
      <c r="C27" s="27">
        <f>IF(C27="","",IF(C27&gt;AA3,"W",IF(C27&lt;AA3,"L","D")))</f>
        <v/>
      </c>
      <c r="D27" s="27">
        <f>IF(D27="","",IF(D27&gt;AA4,"W",IF(D27&lt;AA4,"L","D")))</f>
        <v/>
      </c>
      <c r="E27" s="27">
        <f>IF(E27="","",IF(E27&gt;AA5,"W",IF(E27&lt;AA5,"L","D")))</f>
        <v/>
      </c>
      <c r="F27" s="27">
        <f>IF(F27="","",IF(F27&gt;AA6,"W",IF(F27&lt;AA6,"L","D")))</f>
        <v/>
      </c>
      <c r="G27" s="27">
        <f>IF(G27="","",IF(G27&gt;AA7,"W",IF(G27&lt;AA7,"L","D")))</f>
        <v/>
      </c>
      <c r="H27" s="27">
        <f>IF(H27="","",IF(H27&gt;AA8,"W",IF(H27&lt;AA8,"L","D")))</f>
        <v/>
      </c>
      <c r="I27" s="27">
        <f>IF(I27="","",IF(I27&gt;AA9,"W",IF(I27&lt;AA9,"L","D")))</f>
        <v/>
      </c>
      <c r="J27" s="27">
        <f>IF(J27="","",IF(J27&gt;AA10,"W",IF(J27&lt;AA10,"L","D")))</f>
        <v/>
      </c>
      <c r="K27" s="27">
        <f>IF(K27="","",IF(K27&gt;AA11,"W",IF(K27&lt;AA11,"L","D")))</f>
        <v/>
      </c>
      <c r="L27" s="27">
        <f>IF(L27="","",IF(L27&gt;AA12,"W",IF(L27&lt;AA12,"L","D")))</f>
        <v/>
      </c>
      <c r="M27" s="27">
        <f>IF(M27="","",IF(M27&gt;AA13,"W",IF(M27&lt;AA13,"L","D")))</f>
        <v/>
      </c>
      <c r="N27" s="27">
        <f>IF(N27="","",IF(N27&gt;AA14,"W",IF(N27&lt;AA14,"L","D")))</f>
        <v/>
      </c>
      <c r="O27" s="27">
        <f>IF(O27="","",IF(O27&gt;AA15,"W",IF(O27&lt;AA15,"L","D")))</f>
        <v/>
      </c>
      <c r="P27" s="27">
        <f>IF(P27="","",IF(P27&gt;AA16,"W",IF(P27&lt;AA16,"L","D")))</f>
        <v/>
      </c>
      <c r="Q27" s="27">
        <f>IF(Q27="","",IF(Q27&gt;AA17,"W",IF(Q27&lt;AA17,"L","D")))</f>
        <v/>
      </c>
      <c r="R27" s="27">
        <f>IF(R27="","",IF(R27&gt;AA18,"W",IF(R27&lt;AA18,"L","D")))</f>
        <v/>
      </c>
      <c r="S27" s="27">
        <f>IF(S27="","",IF(S27&gt;AA19,"W",IF(S27&lt;AA19,"L","D")))</f>
        <v/>
      </c>
      <c r="T27" s="27">
        <f>IF(T27="","",IF(T27&gt;AA20,"W",IF(T27&lt;AA20,"L","D")))</f>
        <v/>
      </c>
      <c r="U27" s="27">
        <f>IF(U27="","",IF(U27&gt;AA21,"W",IF(U27&lt;AA21,"L","D")))</f>
        <v/>
      </c>
      <c r="V27" s="27">
        <f>IF(V27="","",IF(V27&gt;AA22,"W",IF(V27&lt;AA22,"L","D")))</f>
        <v/>
      </c>
      <c r="W27" s="27">
        <f>IF(W27="","",IF(W27&gt;AA23,"W",IF(W27&lt;AA23,"L","D")))</f>
        <v/>
      </c>
      <c r="X27" s="27">
        <f>IF(X27="","",IF(X27&gt;AA24,"W",IF(X27&lt;AA24,"L","D")))</f>
        <v/>
      </c>
      <c r="Y27" s="27">
        <f>IF(Y27="","",IF(Y27&gt;AA25,"W",IF(Y27&lt;AA25,"L","D")))</f>
        <v/>
      </c>
      <c r="Z27" s="27">
        <f>IF(Z27="","",IF(Z27&gt;AA26,"W",IF(Z27&lt;AA26,"L","D")))</f>
        <v/>
      </c>
      <c r="AA27" s="22" t="n"/>
      <c r="AB27" s="23">
        <f>IF(AB27="","",IF(AB27&gt;AA28,"W",IF(AB27&lt;AA28,"L","D")))</f>
        <v/>
      </c>
      <c r="AC27" s="23">
        <f>IF(AC27="","",IF(AC27&gt;AA29,"W",IF(AC27&lt;AA29,"L","D")))</f>
        <v/>
      </c>
      <c r="AD27" s="23">
        <f>IF(AD27="","",IF(AD27&gt;AA30,"W",IF(AD27&lt;AA30,"L","D")))</f>
        <v/>
      </c>
      <c r="AE27" s="23">
        <f>IF(AE27="","",IF(AE27&gt;AA31,"W",IF(AE27&lt;AA31,"L","D")))</f>
        <v/>
      </c>
      <c r="AF27" s="23">
        <f>IF(AF27="","",IF(AF27&gt;AA32,"W",IF(AF27&lt;AA32,"L","D")))</f>
        <v/>
      </c>
      <c r="AG27" s="24">
        <f>SUM(C27:AF27)</f>
        <v/>
      </c>
      <c r="AH27" s="25">
        <f>SUMPRODUCT((AB27&lt;&gt;"")*(AB27&gt;=0)+(AC27&lt;&gt;"")*(AC27&gt;=0)+(AD27&lt;&gt;"")*(AD27&gt;=0)+(AE27&lt;&gt;"")*(AE27&gt;=0)+(AF27&lt;&gt;"")*(AF27&gt;=0))</f>
        <v/>
      </c>
      <c r="AI27" s="26">
        <f>SUMPRODUCT((C27&lt;&gt;"")*(C27&gt;=0)+(D27&lt;&gt;"")*(D27&gt;=0)+(E27&lt;&gt;"")*(E27&gt;=0)+(F27&lt;&gt;"")*(F27&gt;=0)+(G27&lt;&gt;"")*(G27&gt;=0)+(H27&lt;&gt;"")*(H27&gt;=0)+(I27&lt;&gt;"")*(I27&gt;=0)+(J27&lt;&gt;"")*(J27&gt;=0)+(K27&lt;&gt;"")*(K27&gt;=0)+(L27&lt;&gt;"")*(L27&gt;=0)+(M27&lt;&gt;"")*(M27&gt;=0)+(N27&lt;&gt;"")*(N27&gt;=0)+(O27&lt;&gt;"")*(O27&gt;=0)+(P27&lt;&gt;"")*(P27&gt;=0)+(Q27&lt;&gt;"")*(Q27&gt;=0)+(R27&lt;&gt;"")*(R27&gt;=0)+(S27&lt;&gt;"")*(S27&gt;=0)+(T27&lt;&gt;"")*(T27&gt;=0)+(U27&lt;&gt;"")*(U27&gt;=0)+(V27&lt;&gt;"")*(V27&gt;=0)+(W27&lt;&gt;"")*(W27&gt;=0)+(X27&lt;&gt;"")*(X27&gt;=0)+(Y27&lt;&gt;"")*(Y27&gt;=0)+(Z27&lt;&gt;"")*(Z27&gt;=0))</f>
        <v/>
      </c>
      <c r="AJ27" s="30">
        <f>COUNTIF(C27:AF27,"W")</f>
        <v/>
      </c>
      <c r="AK27" s="31">
        <f>COUNTIF(C27:AF27,"L")</f>
        <v/>
      </c>
      <c r="AL27" s="32">
        <f>COUNTIF(C27:AF27,"D")</f>
        <v/>
      </c>
      <c r="AM27" s="33">
        <f>AJ27+AK27+AL27</f>
        <v/>
      </c>
    </row>
    <row r="28" ht="19.5" customHeight="1" s="15">
      <c r="A28" s="20" t="n"/>
      <c r="B28" s="21" t="n">
        <v>26</v>
      </c>
      <c r="C28" s="27">
        <f>IF(C28="","",IF(C28&gt;AB3,"W",IF(C28&lt;AB3,"L","D")))</f>
        <v/>
      </c>
      <c r="D28" s="27">
        <f>IF(D28="","",IF(D28&gt;AB4,"W",IF(D28&lt;AB4,"L","D")))</f>
        <v/>
      </c>
      <c r="E28" s="27">
        <f>IF(E28="","",IF(E28&gt;AB5,"W",IF(E28&lt;AB5,"L","D")))</f>
        <v/>
      </c>
      <c r="F28" s="27">
        <f>IF(F28="","",IF(F28&gt;AB6,"W",IF(F28&lt;AB6,"L","D")))</f>
        <v/>
      </c>
      <c r="G28" s="27">
        <f>IF(G28="","",IF(G28&gt;AB7,"W",IF(G28&lt;AB7,"L","D")))</f>
        <v/>
      </c>
      <c r="H28" s="27">
        <f>IF(H28="","",IF(H28&gt;AB8,"W",IF(H28&lt;AB8,"L","D")))</f>
        <v/>
      </c>
      <c r="I28" s="27">
        <f>IF(I28="","",IF(I28&gt;AB9,"W",IF(I28&lt;AB9,"L","D")))</f>
        <v/>
      </c>
      <c r="J28" s="27">
        <f>IF(J28="","",IF(J28&gt;AB10,"W",IF(J28&lt;AB10,"L","D")))</f>
        <v/>
      </c>
      <c r="K28" s="27">
        <f>IF(K28="","",IF(K28&gt;AB11,"W",IF(K28&lt;AB11,"L","D")))</f>
        <v/>
      </c>
      <c r="L28" s="27">
        <f>IF(L28="","",IF(L28&gt;AB12,"W",IF(L28&lt;AB12,"L","D")))</f>
        <v/>
      </c>
      <c r="M28" s="27">
        <f>IF(M28="","",IF(M28&gt;AB13,"W",IF(M28&lt;AB13,"L","D")))</f>
        <v/>
      </c>
      <c r="N28" s="27">
        <f>IF(N28="","",IF(N28&gt;AB14,"W",IF(N28&lt;AB14,"L","D")))</f>
        <v/>
      </c>
      <c r="O28" s="27">
        <f>IF(O28="","",IF(O28&gt;AB15,"W",IF(O28&lt;AB15,"L","D")))</f>
        <v/>
      </c>
      <c r="P28" s="27">
        <f>IF(P28="","",IF(P28&gt;AB16,"W",IF(P28&lt;AB16,"L","D")))</f>
        <v/>
      </c>
      <c r="Q28" s="27">
        <f>IF(Q28="","",IF(Q28&gt;AB17,"W",IF(Q28&lt;AB17,"L","D")))</f>
        <v/>
      </c>
      <c r="R28" s="27">
        <f>IF(R28="","",IF(R28&gt;AB18,"W",IF(R28&lt;AB18,"L","D")))</f>
        <v/>
      </c>
      <c r="S28" s="27">
        <f>IF(S28="","",IF(S28&gt;AB19,"W",IF(S28&lt;AB19,"L","D")))</f>
        <v/>
      </c>
      <c r="T28" s="27">
        <f>IF(T28="","",IF(T28&gt;AB20,"W",IF(T28&lt;AB20,"L","D")))</f>
        <v/>
      </c>
      <c r="U28" s="27">
        <f>IF(U28="","",IF(U28&gt;AB21,"W",IF(U28&lt;AB21,"L","D")))</f>
        <v/>
      </c>
      <c r="V28" s="27">
        <f>IF(V28="","",IF(V28&gt;AB22,"W",IF(V28&lt;AB22,"L","D")))</f>
        <v/>
      </c>
      <c r="W28" s="27">
        <f>IF(W28="","",IF(W28&gt;AB23,"W",IF(W28&lt;AB23,"L","D")))</f>
        <v/>
      </c>
      <c r="X28" s="27">
        <f>IF(X28="","",IF(X28&gt;AB24,"W",IF(X28&lt;AB24,"L","D")))</f>
        <v/>
      </c>
      <c r="Y28" s="27">
        <f>IF(Y28="","",IF(Y28&gt;AB25,"W",IF(Y28&lt;AB25,"L","D")))</f>
        <v/>
      </c>
      <c r="Z28" s="27">
        <f>IF(Z28="","",IF(Z28&gt;AB26,"W",IF(Z28&lt;AB26,"L","D")))</f>
        <v/>
      </c>
      <c r="AA28" s="27">
        <f>IF(AA28="","",IF(AA28&gt;AB27,"W",IF(AA28&lt;AB27,"L","D")))</f>
        <v/>
      </c>
      <c r="AB28" s="22" t="n"/>
      <c r="AC28" s="23">
        <f>IF(AC28="","",IF(AC28&gt;AB29,"W",IF(AC28&lt;AB29,"L","D")))</f>
        <v/>
      </c>
      <c r="AD28" s="23">
        <f>IF(AD28="","",IF(AD28&gt;AB30,"W",IF(AD28&lt;AB30,"L","D")))</f>
        <v/>
      </c>
      <c r="AE28" s="23">
        <f>IF(AE28="","",IF(AE28&gt;AB31,"W",IF(AE28&lt;AB31,"L","D")))</f>
        <v/>
      </c>
      <c r="AF28" s="23">
        <f>IF(AF28="","",IF(AF28&gt;AB32,"W",IF(AF28&lt;AB32,"L","D")))</f>
        <v/>
      </c>
      <c r="AG28" s="24">
        <f>SUM(C28:AF28)</f>
        <v/>
      </c>
      <c r="AH28" s="25">
        <f>SUMPRODUCT((AC28&lt;&gt;"")*(AC28&gt;=0)+(AD28&lt;&gt;"")*(AD28&gt;=0)+(AE28&lt;&gt;"")*(AE28&gt;=0)+(AF28&lt;&gt;"")*(AF28&gt;=0))</f>
        <v/>
      </c>
      <c r="AI28" s="26">
        <f>SUMPRODUCT((C28&lt;&gt;"")*(C28&gt;=0)+(D28&lt;&gt;"")*(D28&gt;=0)+(E28&lt;&gt;"")*(E28&gt;=0)+(F28&lt;&gt;"")*(F28&gt;=0)+(G28&lt;&gt;"")*(G28&gt;=0)+(H28&lt;&gt;"")*(H28&gt;=0)+(I28&lt;&gt;"")*(I28&gt;=0)+(J28&lt;&gt;"")*(J28&gt;=0)+(K28&lt;&gt;"")*(K28&gt;=0)+(L28&lt;&gt;"")*(L28&gt;=0)+(M28&lt;&gt;"")*(M28&gt;=0)+(N28&lt;&gt;"")*(N28&gt;=0)+(O28&lt;&gt;"")*(O28&gt;=0)+(P28&lt;&gt;"")*(P28&gt;=0)+(Q28&lt;&gt;"")*(Q28&gt;=0)+(R28&lt;&gt;"")*(R28&gt;=0)+(S28&lt;&gt;"")*(S28&gt;=0)+(T28&lt;&gt;"")*(T28&gt;=0)+(U28&lt;&gt;"")*(U28&gt;=0)+(V28&lt;&gt;"")*(V28&gt;=0)+(W28&lt;&gt;"")*(W28&gt;=0)+(X28&lt;&gt;"")*(X28&gt;=0)+(Y28&lt;&gt;"")*(Y28&gt;=0)+(Z28&lt;&gt;"")*(Z28&gt;=0)+(AA28&lt;&gt;"")*(AA28&gt;=0))</f>
        <v/>
      </c>
      <c r="AJ28" s="30">
        <f>COUNTIF(C28:AF28,"W")</f>
        <v/>
      </c>
      <c r="AK28" s="31">
        <f>COUNTIF(C28:AF28,"L")</f>
        <v/>
      </c>
      <c r="AL28" s="32">
        <f>COUNTIF(C28:AF28,"D")</f>
        <v/>
      </c>
      <c r="AM28" s="33">
        <f>AJ28+AK28+AL28</f>
        <v/>
      </c>
    </row>
    <row r="29" ht="19.5" customHeight="1" s="15">
      <c r="A29" s="20" t="n"/>
      <c r="B29" s="21" t="n">
        <v>27</v>
      </c>
      <c r="C29" s="27">
        <f>IF(C29="","",IF(C29&gt;AC3,"W",IF(C29&lt;AC3,"L","D")))</f>
        <v/>
      </c>
      <c r="D29" s="27">
        <f>IF(D29="","",IF(D29&gt;AC4,"W",IF(D29&lt;AC4,"L","D")))</f>
        <v/>
      </c>
      <c r="E29" s="27">
        <f>IF(E29="","",IF(E29&gt;AC5,"W",IF(E29&lt;AC5,"L","D")))</f>
        <v/>
      </c>
      <c r="F29" s="27">
        <f>IF(F29="","",IF(F29&gt;AC6,"W",IF(F29&lt;AC6,"L","D")))</f>
        <v/>
      </c>
      <c r="G29" s="27">
        <f>IF(G29="","",IF(G29&gt;AC7,"W",IF(G29&lt;AC7,"L","D")))</f>
        <v/>
      </c>
      <c r="H29" s="27">
        <f>IF(H29="","",IF(H29&gt;AC8,"W",IF(H29&lt;AC8,"L","D")))</f>
        <v/>
      </c>
      <c r="I29" s="27">
        <f>IF(I29="","",IF(I29&gt;AC9,"W",IF(I29&lt;AC9,"L","D")))</f>
        <v/>
      </c>
      <c r="J29" s="27">
        <f>IF(J29="","",IF(J29&gt;AC10,"W",IF(J29&lt;AC10,"L","D")))</f>
        <v/>
      </c>
      <c r="K29" s="27">
        <f>IF(K29="","",IF(K29&gt;AC11,"W",IF(K29&lt;AC11,"L","D")))</f>
        <v/>
      </c>
      <c r="L29" s="27">
        <f>IF(L29="","",IF(L29&gt;AC12,"W",IF(L29&lt;AC12,"L","D")))</f>
        <v/>
      </c>
      <c r="M29" s="27">
        <f>IF(M29="","",IF(M29&gt;AC13,"W",IF(M29&lt;AC13,"L","D")))</f>
        <v/>
      </c>
      <c r="N29" s="27">
        <f>IF(N29="","",IF(N29&gt;AC14,"W",IF(N29&lt;AC14,"L","D")))</f>
        <v/>
      </c>
      <c r="O29" s="27">
        <f>IF(O29="","",IF(O29&gt;AC15,"W",IF(O29&lt;AC15,"L","D")))</f>
        <v/>
      </c>
      <c r="P29" s="27">
        <f>IF(P29="","",IF(P29&gt;AC16,"W",IF(P29&lt;AC16,"L","D")))</f>
        <v/>
      </c>
      <c r="Q29" s="27">
        <f>IF(Q29="","",IF(Q29&gt;AC17,"W",IF(Q29&lt;AC17,"L","D")))</f>
        <v/>
      </c>
      <c r="R29" s="27">
        <f>IF(R29="","",IF(R29&gt;AC18,"W",IF(R29&lt;AC18,"L","D")))</f>
        <v/>
      </c>
      <c r="S29" s="27">
        <f>IF(S29="","",IF(S29&gt;AC19,"W",IF(S29&lt;AC19,"L","D")))</f>
        <v/>
      </c>
      <c r="T29" s="27">
        <f>IF(T29="","",IF(T29&gt;AC20,"W",IF(T29&lt;AC20,"L","D")))</f>
        <v/>
      </c>
      <c r="U29" s="27">
        <f>IF(U29="","",IF(U29&gt;AC21,"W",IF(U29&lt;AC21,"L","D")))</f>
        <v/>
      </c>
      <c r="V29" s="27">
        <f>IF(V29="","",IF(V29&gt;AC22,"W",IF(V29&lt;AC22,"L","D")))</f>
        <v/>
      </c>
      <c r="W29" s="27">
        <f>IF(W29="","",IF(W29&gt;AC23,"W",IF(W29&lt;AC23,"L","D")))</f>
        <v/>
      </c>
      <c r="X29" s="27">
        <f>IF(X29="","",IF(X29&gt;AC24,"W",IF(X29&lt;AC24,"L","D")))</f>
        <v/>
      </c>
      <c r="Y29" s="27">
        <f>IF(Y29="","",IF(Y29&gt;AC25,"W",IF(Y29&lt;AC25,"L","D")))</f>
        <v/>
      </c>
      <c r="Z29" s="27">
        <f>IF(Z29="","",IF(Z29&gt;AC26,"W",IF(Z29&lt;AC26,"L","D")))</f>
        <v/>
      </c>
      <c r="AA29" s="27">
        <f>IF(AA29="","",IF(AA29&gt;AC27,"W",IF(AA29&lt;AC27,"L","D")))</f>
        <v/>
      </c>
      <c r="AB29" s="27">
        <f>IF(AB29="","",IF(AB29&gt;AC28,"W",IF(AB29&lt;AC28,"L","D")))</f>
        <v/>
      </c>
      <c r="AC29" s="22" t="n"/>
      <c r="AD29" s="23">
        <f>IF(AD29="","",IF(AD29&gt;AC30,"W",IF(AD29&lt;AC30,"L","D")))</f>
        <v/>
      </c>
      <c r="AE29" s="23">
        <f>IF(AE29="","",IF(AE29&gt;AC31,"W",IF(AE29&lt;AC31,"L","D")))</f>
        <v/>
      </c>
      <c r="AF29" s="23">
        <f>IF(AF29="","",IF(AF29&gt;AC32,"W",IF(AF29&lt;AC32,"L","D")))</f>
        <v/>
      </c>
      <c r="AG29" s="24">
        <f>SUM(C29:AF29)</f>
        <v/>
      </c>
      <c r="AH29" s="25">
        <f>SUMPRODUCT((AD29&lt;&gt;"")*(AD29&gt;=0)+(AE29&lt;&gt;"")*(AE29&gt;=0)+(AF29&lt;&gt;"")*(AF29&gt;=0))</f>
        <v/>
      </c>
      <c r="AI29" s="26">
        <f>SUMPRODUCT((C29&lt;&gt;"")*(C29&gt;=0)+(D29&lt;&gt;"")*(D29&gt;=0)+(E29&lt;&gt;"")*(E29&gt;=0)+(F29&lt;&gt;"")*(F29&gt;=0)+(G29&lt;&gt;"")*(G29&gt;=0)+(H29&lt;&gt;"")*(H29&gt;=0)+(I29&lt;&gt;"")*(I29&gt;=0)+(J29&lt;&gt;"")*(J29&gt;=0)+(K29&lt;&gt;"")*(K29&gt;=0)+(L29&lt;&gt;"")*(L29&gt;=0)+(M29&lt;&gt;"")*(M29&gt;=0)+(N29&lt;&gt;"")*(N29&gt;=0)+(O29&lt;&gt;"")*(O29&gt;=0)+(P29&lt;&gt;"")*(P29&gt;=0)+(Q29&lt;&gt;"")*(Q29&gt;=0)+(R29&lt;&gt;"")*(R29&gt;=0)+(S29&lt;&gt;"")*(S29&gt;=0)+(T29&lt;&gt;"")*(T29&gt;=0)+(U29&lt;&gt;"")*(U29&gt;=0)+(V29&lt;&gt;"")*(V29&gt;=0)+(W29&lt;&gt;"")*(W29&gt;=0)+(X29&lt;&gt;"")*(X29&gt;=0)+(Y29&lt;&gt;"")*(Y29&gt;=0)+(Z29&lt;&gt;"")*(Z29&gt;=0)+(AA29&lt;&gt;"")*(AA29&gt;=0)+(AB29&lt;&gt;"")*(AB29&gt;=0))</f>
        <v/>
      </c>
      <c r="AJ29" s="30">
        <f>COUNTIF(C29:AF29,"W")</f>
        <v/>
      </c>
      <c r="AK29" s="31">
        <f>COUNTIF(C29:AF29,"L")</f>
        <v/>
      </c>
      <c r="AL29" s="32">
        <f>COUNTIF(C29:AF29,"D")</f>
        <v/>
      </c>
      <c r="AM29" s="33">
        <f>AJ29+AK29+AL29</f>
        <v/>
      </c>
    </row>
    <row r="30" ht="19.5" customHeight="1" s="15">
      <c r="A30" s="20" t="n"/>
      <c r="B30" s="21" t="n">
        <v>28</v>
      </c>
      <c r="C30" s="27">
        <f>IF(C30="","",IF(C30&gt;AD3,"W",IF(C30&lt;AD3,"L","D")))</f>
        <v/>
      </c>
      <c r="D30" s="27">
        <f>IF(D30="","",IF(D30&gt;AD4,"W",IF(D30&lt;AD4,"L","D")))</f>
        <v/>
      </c>
      <c r="E30" s="27">
        <f>IF(E30="","",IF(E30&gt;AD5,"W",IF(E30&lt;AD5,"L","D")))</f>
        <v/>
      </c>
      <c r="F30" s="27">
        <f>IF(F30="","",IF(F30&gt;AD6,"W",IF(F30&lt;AD6,"L","D")))</f>
        <v/>
      </c>
      <c r="G30" s="27">
        <f>IF(G30="","",IF(G30&gt;AD7,"W",IF(G30&lt;AD7,"L","D")))</f>
        <v/>
      </c>
      <c r="H30" s="27">
        <f>IF(H30="","",IF(H30&gt;AD8,"W",IF(H30&lt;AD8,"L","D")))</f>
        <v/>
      </c>
      <c r="I30" s="27">
        <f>IF(I30="","",IF(I30&gt;AD9,"W",IF(I30&lt;AD9,"L","D")))</f>
        <v/>
      </c>
      <c r="J30" s="27">
        <f>IF(J30="","",IF(J30&gt;AD10,"W",IF(J30&lt;AD10,"L","D")))</f>
        <v/>
      </c>
      <c r="K30" s="27">
        <f>IF(K30="","",IF(K30&gt;AD11,"W",IF(K30&lt;AD11,"L","D")))</f>
        <v/>
      </c>
      <c r="L30" s="27">
        <f>IF(L30="","",IF(L30&gt;AD12,"W",IF(L30&lt;AD12,"L","D")))</f>
        <v/>
      </c>
      <c r="M30" s="27">
        <f>IF(M30="","",IF(M30&gt;AD13,"W",IF(M30&lt;AD13,"L","D")))</f>
        <v/>
      </c>
      <c r="N30" s="27">
        <f>IF(N30="","",IF(N30&gt;AD14,"W",IF(N30&lt;AD14,"L","D")))</f>
        <v/>
      </c>
      <c r="O30" s="27">
        <f>IF(O30="","",IF(O30&gt;AD15,"W",IF(O30&lt;AD15,"L","D")))</f>
        <v/>
      </c>
      <c r="P30" s="27">
        <f>IF(P30="","",IF(P30&gt;AD16,"W",IF(P30&lt;AD16,"L","D")))</f>
        <v/>
      </c>
      <c r="Q30" s="27">
        <f>IF(Q30="","",IF(Q30&gt;AD17,"W",IF(Q30&lt;AD17,"L","D")))</f>
        <v/>
      </c>
      <c r="R30" s="27">
        <f>IF(R30="","",IF(R30&gt;AD18,"W",IF(R30&lt;AD18,"L","D")))</f>
        <v/>
      </c>
      <c r="S30" s="27">
        <f>IF(S30="","",IF(S30&gt;AD19,"W",IF(S30&lt;AD19,"L","D")))</f>
        <v/>
      </c>
      <c r="T30" s="27">
        <f>IF(T30="","",IF(T30&gt;AD20,"W",IF(T30&lt;AD20,"L","D")))</f>
        <v/>
      </c>
      <c r="U30" s="27">
        <f>IF(U30="","",IF(U30&gt;AD21,"W",IF(U30&lt;AD21,"L","D")))</f>
        <v/>
      </c>
      <c r="V30" s="27">
        <f>IF(V30="","",IF(V30&gt;AD22,"W",IF(V30&lt;AD22,"L","D")))</f>
        <v/>
      </c>
      <c r="W30" s="27">
        <f>IF(W30="","",IF(W30&gt;AD23,"W",IF(W30&lt;AD23,"L","D")))</f>
        <v/>
      </c>
      <c r="X30" s="27">
        <f>IF(X30="","",IF(X30&gt;AD24,"W",IF(X30&lt;AD24,"L","D")))</f>
        <v/>
      </c>
      <c r="Y30" s="27">
        <f>IF(Y30="","",IF(Y30&gt;AD25,"W",IF(Y30&lt;AD25,"L","D")))</f>
        <v/>
      </c>
      <c r="Z30" s="27">
        <f>IF(Z30="","",IF(Z30&gt;AD26,"W",IF(Z30&lt;AD26,"L","D")))</f>
        <v/>
      </c>
      <c r="AA30" s="27">
        <f>IF(AA30="","",IF(AA30&gt;AD27,"W",IF(AA30&lt;AD27,"L","D")))</f>
        <v/>
      </c>
      <c r="AB30" s="27">
        <f>IF(AB30="","",IF(AB30&gt;AD28,"W",IF(AB30&lt;AD28,"L","D")))</f>
        <v/>
      </c>
      <c r="AC30" s="27">
        <f>IF(AC30="","",IF(AC30&gt;AD29,"W",IF(AC30&lt;AD29,"L","D")))</f>
        <v/>
      </c>
      <c r="AD30" s="22" t="n"/>
      <c r="AE30" s="23">
        <f>IF(AE30="","",IF(AE30&gt;AD31,"W",IF(AE30&lt;AD31,"L","D")))</f>
        <v/>
      </c>
      <c r="AF30" s="23">
        <f>IF(AF30="","",IF(AF30&gt;AD32,"W",IF(AF30&lt;AD32,"L","D")))</f>
        <v/>
      </c>
      <c r="AG30" s="24">
        <f>SUM(C30:AF30)</f>
        <v/>
      </c>
      <c r="AH30" s="25">
        <f>SUMPRODUCT((AE30&lt;&gt;"")*(AE30&gt;=0)+(AF30&lt;&gt;"")*(AF30&gt;=0))</f>
        <v/>
      </c>
      <c r="AI30" s="26">
        <f>SUMPRODUCT((C30&lt;&gt;"")*(C30&gt;=0)+(D30&lt;&gt;"")*(D30&gt;=0)+(E30&lt;&gt;"")*(E30&gt;=0)+(F30&lt;&gt;"")*(F30&gt;=0)+(G30&lt;&gt;"")*(G30&gt;=0)+(H30&lt;&gt;"")*(H30&gt;=0)+(I30&lt;&gt;"")*(I30&gt;=0)+(J30&lt;&gt;"")*(J30&gt;=0)+(K30&lt;&gt;"")*(K30&gt;=0)+(L30&lt;&gt;"")*(L30&gt;=0)+(M30&lt;&gt;"")*(M30&gt;=0)+(N30&lt;&gt;"")*(N30&gt;=0)+(O30&lt;&gt;"")*(O30&gt;=0)+(P30&lt;&gt;"")*(P30&gt;=0)+(Q30&lt;&gt;"")*(Q30&gt;=0)+(R30&lt;&gt;"")*(R30&gt;=0)+(S30&lt;&gt;"")*(S30&gt;=0)+(T30&lt;&gt;"")*(T30&gt;=0)+(U30&lt;&gt;"")*(U30&gt;=0)+(V30&lt;&gt;"")*(V30&gt;=0)+(W30&lt;&gt;"")*(W30&gt;=0)+(X30&lt;&gt;"")*(X30&gt;=0)+(Y30&lt;&gt;"")*(Y30&gt;=0)+(Z30&lt;&gt;"")*(Z30&gt;=0)+(AA30&lt;&gt;"")*(AA30&gt;=0)+(AB30&lt;&gt;"")*(AB30&gt;=0)+(AC30&lt;&gt;"")*(AC30&gt;=0))</f>
        <v/>
      </c>
      <c r="AJ30" s="30">
        <f>COUNTIF(C30:AF30,"W")</f>
        <v/>
      </c>
      <c r="AK30" s="31">
        <f>COUNTIF(C30:AF30,"L")</f>
        <v/>
      </c>
      <c r="AL30" s="32">
        <f>COUNTIF(C30:AF30,"D")</f>
        <v/>
      </c>
      <c r="AM30" s="33">
        <f>AJ30+AK30+AL30</f>
        <v/>
      </c>
    </row>
    <row r="31" ht="19.5" customHeight="1" s="15">
      <c r="A31" s="20" t="n"/>
      <c r="B31" s="21" t="n">
        <v>29</v>
      </c>
      <c r="C31" s="27">
        <f>IF(C31="","",IF(C31&gt;AE3,"W",IF(C31&lt;AE3,"L","D")))</f>
        <v/>
      </c>
      <c r="D31" s="27">
        <f>IF(D31="","",IF(D31&gt;AE4,"W",IF(D31&lt;AE4,"L","D")))</f>
        <v/>
      </c>
      <c r="E31" s="27">
        <f>IF(E31="","",IF(E31&gt;AE5,"W",IF(E31&lt;AE5,"L","D")))</f>
        <v/>
      </c>
      <c r="F31" s="27">
        <f>IF(F31="","",IF(F31&gt;AE6,"W",IF(F31&lt;AE6,"L","D")))</f>
        <v/>
      </c>
      <c r="G31" s="27">
        <f>IF(G31="","",IF(G31&gt;AE7,"W",IF(G31&lt;AE7,"L","D")))</f>
        <v/>
      </c>
      <c r="H31" s="27">
        <f>IF(H31="","",IF(H31&gt;AE8,"W",IF(H31&lt;AE8,"L","D")))</f>
        <v/>
      </c>
      <c r="I31" s="27">
        <f>IF(I31="","",IF(I31&gt;AE9,"W",IF(I31&lt;AE9,"L","D")))</f>
        <v/>
      </c>
      <c r="J31" s="27">
        <f>IF(J31="","",IF(J31&gt;AE10,"W",IF(J31&lt;AE10,"L","D")))</f>
        <v/>
      </c>
      <c r="K31" s="27">
        <f>IF(K31="","",IF(K31&gt;AE11,"W",IF(K31&lt;AE11,"L","D")))</f>
        <v/>
      </c>
      <c r="L31" s="27">
        <f>IF(L31="","",IF(L31&gt;AE12,"W",IF(L31&lt;AE12,"L","D")))</f>
        <v/>
      </c>
      <c r="M31" s="27">
        <f>IF(M31="","",IF(M31&gt;AE13,"W",IF(M31&lt;AE13,"L","D")))</f>
        <v/>
      </c>
      <c r="N31" s="27">
        <f>IF(N31="","",IF(N31&gt;AE14,"W",IF(N31&lt;AE14,"L","D")))</f>
        <v/>
      </c>
      <c r="O31" s="27">
        <f>IF(O31="","",IF(O31&gt;AE15,"W",IF(O31&lt;AE15,"L","D")))</f>
        <v/>
      </c>
      <c r="P31" s="27">
        <f>IF(P31="","",IF(P31&gt;AE16,"W",IF(P31&lt;AE16,"L","D")))</f>
        <v/>
      </c>
      <c r="Q31" s="27">
        <f>IF(Q31="","",IF(Q31&gt;AE17,"W",IF(Q31&lt;AE17,"L","D")))</f>
        <v/>
      </c>
      <c r="R31" s="27">
        <f>IF(R31="","",IF(R31&gt;AE18,"W",IF(R31&lt;AE18,"L","D")))</f>
        <v/>
      </c>
      <c r="S31" s="27">
        <f>IF(S31="","",IF(S31&gt;AE19,"W",IF(S31&lt;AE19,"L","D")))</f>
        <v/>
      </c>
      <c r="T31" s="27">
        <f>IF(T31="","",IF(T31&gt;AE20,"W",IF(T31&lt;AE20,"L","D")))</f>
        <v/>
      </c>
      <c r="U31" s="27">
        <f>IF(U31="","",IF(U31&gt;AE21,"W",IF(U31&lt;AE21,"L","D")))</f>
        <v/>
      </c>
      <c r="V31" s="27">
        <f>IF(V31="","",IF(V31&gt;AE22,"W",IF(V31&lt;AE22,"L","D")))</f>
        <v/>
      </c>
      <c r="W31" s="27">
        <f>IF(W31="","",IF(W31&gt;AE23,"W",IF(W31&lt;AE23,"L","D")))</f>
        <v/>
      </c>
      <c r="X31" s="27">
        <f>IF(X31="","",IF(X31&gt;AE24,"W",IF(X31&lt;AE24,"L","D")))</f>
        <v/>
      </c>
      <c r="Y31" s="27">
        <f>IF(Y31="","",IF(Y31&gt;AE25,"W",IF(Y31&lt;AE25,"L","D")))</f>
        <v/>
      </c>
      <c r="Z31" s="27">
        <f>IF(Z31="","",IF(Z31&gt;AE26,"W",IF(Z31&lt;AE26,"L","D")))</f>
        <v/>
      </c>
      <c r="AA31" s="27">
        <f>IF(AA31="","",IF(AA31&gt;AE27,"W",IF(AA31&lt;AE27,"L","D")))</f>
        <v/>
      </c>
      <c r="AB31" s="27">
        <f>IF(AB31="","",IF(AB31&gt;AE28,"W",IF(AB31&lt;AE28,"L","D")))</f>
        <v/>
      </c>
      <c r="AC31" s="27">
        <f>IF(AC31="","",IF(AC31&gt;AE29,"W",IF(AC31&lt;AE29,"L","D")))</f>
        <v/>
      </c>
      <c r="AD31" s="27">
        <f>IF(AD31="","",IF(AD31&gt;AE30,"W",IF(AD31&lt;AE30,"L","D")))</f>
        <v/>
      </c>
      <c r="AE31" s="22" t="n"/>
      <c r="AF31" s="23">
        <f>IF(AF31="","",IF(AF31&gt;AE32,"W",IF(AF31&lt;AE32,"L","D")))</f>
        <v/>
      </c>
      <c r="AG31" s="24">
        <f>SUM(C31:AF31)</f>
        <v/>
      </c>
      <c r="AH31" s="25">
        <f>SUMPRODUCT((AF31&lt;&gt;"")*(AF31&gt;=0))</f>
        <v/>
      </c>
      <c r="AI31" s="26">
        <f>SUMPRODUCT((C31&lt;&gt;"")*(C31&gt;=0)+(D31&lt;&gt;"")*(D31&gt;=0)+(E31&lt;&gt;"")*(E31&gt;=0)+(F31&lt;&gt;"")*(F31&gt;=0)+(G31&lt;&gt;"")*(G31&gt;=0)+(H31&lt;&gt;"")*(H31&gt;=0)+(I31&lt;&gt;"")*(I31&gt;=0)+(J31&lt;&gt;"")*(J31&gt;=0)+(K31&lt;&gt;"")*(K31&gt;=0)+(L31&lt;&gt;"")*(L31&gt;=0)+(M31&lt;&gt;"")*(M31&gt;=0)+(N31&lt;&gt;"")*(N31&gt;=0)+(O31&lt;&gt;"")*(O31&gt;=0)+(P31&lt;&gt;"")*(P31&gt;=0)+(Q31&lt;&gt;"")*(Q31&gt;=0)+(R31&lt;&gt;"")*(R31&gt;=0)+(S31&lt;&gt;"")*(S31&gt;=0)+(T31&lt;&gt;"")*(T31&gt;=0)+(U31&lt;&gt;"")*(U31&gt;=0)+(V31&lt;&gt;"")*(V31&gt;=0)+(W31&lt;&gt;"")*(W31&gt;=0)+(X31&lt;&gt;"")*(X31&gt;=0)+(Y31&lt;&gt;"")*(Y31&gt;=0)+(Z31&lt;&gt;"")*(Z31&gt;=0)+(AA31&lt;&gt;"")*(AA31&gt;=0)+(AB31&lt;&gt;"")*(AB31&gt;=0)+(AC31&lt;&gt;"")*(AC31&gt;=0)+(AD31&lt;&gt;"")*(AD31&gt;=0))</f>
        <v/>
      </c>
      <c r="AJ31" s="30">
        <f>COUNTIF(C31:AF31,"W")</f>
        <v/>
      </c>
      <c r="AK31" s="31">
        <f>COUNTIF(C31:AF31,"L")</f>
        <v/>
      </c>
      <c r="AL31" s="32">
        <f>COUNTIF(C31:AF31,"D")</f>
        <v/>
      </c>
      <c r="AM31" s="33">
        <f>AJ31+AK31+AL31</f>
        <v/>
      </c>
    </row>
    <row r="32" ht="19.5" customHeight="1" s="15">
      <c r="A32" s="20" t="n"/>
      <c r="B32" s="21" t="n">
        <v>30</v>
      </c>
      <c r="C32" s="27">
        <f>IF(C32="","",IF(C32&gt;AF3,"W",IF(C32&lt;AF3,"L","D")))</f>
        <v/>
      </c>
      <c r="D32" s="27">
        <f>IF(D32="","",IF(D32&gt;AF4,"W",IF(D32&lt;AF4,"L","D")))</f>
        <v/>
      </c>
      <c r="E32" s="27">
        <f>IF(E32="","",IF(E32&gt;AF5,"W",IF(E32&lt;AF5,"L","D")))</f>
        <v/>
      </c>
      <c r="F32" s="27">
        <f>IF(F32="","",IF(F32&gt;AF6,"W",IF(F32&lt;AF6,"L","D")))</f>
        <v/>
      </c>
      <c r="G32" s="27">
        <f>IF(G32="","",IF(G32&gt;AF7,"W",IF(G32&lt;AF7,"L","D")))</f>
        <v/>
      </c>
      <c r="H32" s="27">
        <f>IF(H32="","",IF(H32&gt;AF8,"W",IF(H32&lt;AF8,"L","D")))</f>
        <v/>
      </c>
      <c r="I32" s="27">
        <f>IF(I32="","",IF(I32&gt;AF9,"W",IF(I32&lt;AF9,"L","D")))</f>
        <v/>
      </c>
      <c r="J32" s="27">
        <f>IF(J32="","",IF(J32&gt;AF10,"W",IF(J32&lt;AF10,"L","D")))</f>
        <v/>
      </c>
      <c r="K32" s="27">
        <f>IF(K32="","",IF(K32&gt;AF11,"W",IF(K32&lt;AF11,"L","D")))</f>
        <v/>
      </c>
      <c r="L32" s="27">
        <f>IF(L32="","",IF(L32&gt;AF12,"W",IF(L32&lt;AF12,"L","D")))</f>
        <v/>
      </c>
      <c r="M32" s="27">
        <f>IF(M32="","",IF(M32&gt;AF13,"W",IF(M32&lt;AF13,"L","D")))</f>
        <v/>
      </c>
      <c r="N32" s="27">
        <f>IF(N32="","",IF(N32&gt;AF14,"W",IF(N32&lt;AF14,"L","D")))</f>
        <v/>
      </c>
      <c r="O32" s="27">
        <f>IF(O32="","",IF(O32&gt;AF15,"W",IF(O32&lt;AF15,"L","D")))</f>
        <v/>
      </c>
      <c r="P32" s="27">
        <f>IF(P32="","",IF(P32&gt;AF16,"W",IF(P32&lt;AF16,"L","D")))</f>
        <v/>
      </c>
      <c r="Q32" s="27">
        <f>IF(Q32="","",IF(Q32&gt;AF17,"W",IF(Q32&lt;AF17,"L","D")))</f>
        <v/>
      </c>
      <c r="R32" s="27">
        <f>IF(R32="","",IF(R32&gt;AF18,"W",IF(R32&lt;AF18,"L","D")))</f>
        <v/>
      </c>
      <c r="S32" s="27">
        <f>IF(S32="","",IF(S32&gt;AF19,"W",IF(S32&lt;AF19,"L","D")))</f>
        <v/>
      </c>
      <c r="T32" s="27">
        <f>IF(T32="","",IF(T32&gt;AF20,"W",IF(T32&lt;AF20,"L","D")))</f>
        <v/>
      </c>
      <c r="U32" s="27">
        <f>IF(U32="","",IF(U32&gt;AF21,"W",IF(U32&lt;AF21,"L","D")))</f>
        <v/>
      </c>
      <c r="V32" s="27">
        <f>IF(V32="","",IF(V32&gt;AF22,"W",IF(V32&lt;AF22,"L","D")))</f>
        <v/>
      </c>
      <c r="W32" s="27">
        <f>IF(W32="","",IF(W32&gt;AF23,"W",IF(W32&lt;AF23,"L","D")))</f>
        <v/>
      </c>
      <c r="X32" s="27">
        <f>IF(X32="","",IF(X32&gt;AF24,"W",IF(X32&lt;AF24,"L","D")))</f>
        <v/>
      </c>
      <c r="Y32" s="27">
        <f>IF(Y32="","",IF(Y32&gt;AF25,"W",IF(Y32&lt;AF25,"L","D")))</f>
        <v/>
      </c>
      <c r="Z32" s="27">
        <f>IF(Z32="","",IF(Z32&gt;AF26,"W",IF(Z32&lt;AF26,"L","D")))</f>
        <v/>
      </c>
      <c r="AA32" s="27">
        <f>IF(AA32="","",IF(AA32&gt;AF27,"W",IF(AA32&lt;AF27,"L","D")))</f>
        <v/>
      </c>
      <c r="AB32" s="27">
        <f>IF(AB32="","",IF(AB32&gt;AF28,"W",IF(AB32&lt;AF28,"L","D")))</f>
        <v/>
      </c>
      <c r="AC32" s="27">
        <f>IF(AC32="","",IF(AC32&gt;AF29,"W",IF(AC32&lt;AF29,"L","D")))</f>
        <v/>
      </c>
      <c r="AD32" s="27">
        <f>IF(AD32="","",IF(AD32&gt;AF30,"W",IF(AD32&lt;AF30,"L","D")))</f>
        <v/>
      </c>
      <c r="AE32" s="27">
        <f>IF(AE32="","",IF(AE32&gt;AF31,"W",IF(AE32&lt;AF31,"L","D")))</f>
        <v/>
      </c>
      <c r="AF32" s="22" t="n"/>
      <c r="AG32" s="24">
        <f>SUM(C32:AF32)</f>
        <v/>
      </c>
      <c r="AH32" s="25">
        <f>0</f>
        <v/>
      </c>
      <c r="AI32" s="26">
        <f>SUMPRODUCT((C32&lt;&gt;"")*(C32&gt;=0)+(D32&lt;&gt;"")*(D32&gt;=0)+(E32&lt;&gt;"")*(E32&gt;=0)+(F32&lt;&gt;"")*(F32&gt;=0)+(G32&lt;&gt;"")*(G32&gt;=0)+(H32&lt;&gt;"")*(H32&gt;=0)+(I32&lt;&gt;"")*(I32&gt;=0)+(J32&lt;&gt;"")*(J32&gt;=0)+(K32&lt;&gt;"")*(K32&gt;=0)+(L32&lt;&gt;"")*(L32&gt;=0)+(M32&lt;&gt;"")*(M32&gt;=0)+(N32&lt;&gt;"")*(N32&gt;=0)+(O32&lt;&gt;"")*(O32&gt;=0)+(P32&lt;&gt;"")*(P32&gt;=0)+(Q32&lt;&gt;"")*(Q32&gt;=0)+(R32&lt;&gt;"")*(R32&gt;=0)+(S32&lt;&gt;"")*(S32&gt;=0)+(T32&lt;&gt;"")*(T32&gt;=0)+(U32&lt;&gt;"")*(U32&gt;=0)+(V32&lt;&gt;"")*(V32&gt;=0)+(W32&lt;&gt;"")*(W32&gt;=0)+(X32&lt;&gt;"")*(X32&gt;=0)+(Y32&lt;&gt;"")*(Y32&gt;=0)+(Z32&lt;&gt;"")*(Z32&gt;=0)+(AA32&lt;&gt;"")*(AA32&gt;=0)+(AB32&lt;&gt;"")*(AB32&gt;=0)+(AC32&lt;&gt;"")*(AC32&gt;=0)+(AD32&lt;&gt;"")*(AD32&gt;=0)+(AE32&lt;&gt;"")*(AE32&gt;=0))</f>
        <v/>
      </c>
      <c r="AJ32" s="30">
        <f>COUNTIF(C32:AF32,"W")</f>
        <v/>
      </c>
      <c r="AK32" s="31">
        <f>COUNTIF(C32:AF32,"L")</f>
        <v/>
      </c>
      <c r="AL32" s="32">
        <f>COUNTIF(C32:AF32,"D")</f>
        <v/>
      </c>
      <c r="AM32" s="33">
        <f>AJ32+AK32+AL32</f>
        <v/>
      </c>
    </row>
    <row r="1048575" ht="12.75" customHeight="1" s="15"/>
    <row r="1048576" ht="12.75" customHeight="1" s="15"/>
  </sheetData>
  <conditionalFormatting sqref="D3">
    <cfRule type="cellIs" priority="1" operator="equal" dxfId="0">
      <formula>"W"</formula>
    </cfRule>
    <cfRule type="cellIs" priority="2" operator="equal" dxfId="1">
      <formula>"L"</formula>
    </cfRule>
    <cfRule type="cellIs" priority="3" operator="equal" dxfId="2">
      <formula>"D"</formula>
    </cfRule>
  </conditionalFormatting>
  <conditionalFormatting sqref="E3">
    <cfRule type="cellIs" priority="4" operator="equal" dxfId="0">
      <formula>"W"</formula>
    </cfRule>
    <cfRule type="cellIs" priority="5" operator="equal" dxfId="1">
      <formula>"L"</formula>
    </cfRule>
    <cfRule type="cellIs" priority="6" operator="equal" dxfId="2">
      <formula>"D"</formula>
    </cfRule>
  </conditionalFormatting>
  <conditionalFormatting sqref="F3">
    <cfRule type="cellIs" priority="7" operator="equal" dxfId="0">
      <formula>"W"</formula>
    </cfRule>
    <cfRule type="cellIs" priority="8" operator="equal" dxfId="1">
      <formula>"L"</formula>
    </cfRule>
    <cfRule type="cellIs" priority="9" operator="equal" dxfId="2">
      <formula>"D"</formula>
    </cfRule>
  </conditionalFormatting>
  <conditionalFormatting sqref="G3">
    <cfRule type="cellIs" priority="10" operator="equal" dxfId="0">
      <formula>"W"</formula>
    </cfRule>
    <cfRule type="cellIs" priority="11" operator="equal" dxfId="1">
      <formula>"L"</formula>
    </cfRule>
    <cfRule type="cellIs" priority="12" operator="equal" dxfId="2">
      <formula>"D"</formula>
    </cfRule>
  </conditionalFormatting>
  <conditionalFormatting sqref="H3">
    <cfRule type="cellIs" priority="13" operator="equal" dxfId="0">
      <formula>"W"</formula>
    </cfRule>
    <cfRule type="cellIs" priority="14" operator="equal" dxfId="1">
      <formula>"L"</formula>
    </cfRule>
    <cfRule type="cellIs" priority="15" operator="equal" dxfId="2">
      <formula>"D"</formula>
    </cfRule>
  </conditionalFormatting>
  <conditionalFormatting sqref="I3">
    <cfRule type="cellIs" priority="16" operator="equal" dxfId="0">
      <formula>"W"</formula>
    </cfRule>
    <cfRule type="cellIs" priority="17" operator="equal" dxfId="1">
      <formula>"L"</formula>
    </cfRule>
    <cfRule type="cellIs" priority="18" operator="equal" dxfId="2">
      <formula>"D"</formula>
    </cfRule>
  </conditionalFormatting>
  <conditionalFormatting sqref="J3">
    <cfRule type="cellIs" priority="19" operator="equal" dxfId="0">
      <formula>"W"</formula>
    </cfRule>
    <cfRule type="cellIs" priority="20" operator="equal" dxfId="1">
      <formula>"L"</formula>
    </cfRule>
    <cfRule type="cellIs" priority="21" operator="equal" dxfId="2">
      <formula>"D"</formula>
    </cfRule>
  </conditionalFormatting>
  <conditionalFormatting sqref="K3">
    <cfRule type="cellIs" priority="22" operator="equal" dxfId="0">
      <formula>"W"</formula>
    </cfRule>
    <cfRule type="cellIs" priority="23" operator="equal" dxfId="1">
      <formula>"L"</formula>
    </cfRule>
    <cfRule type="cellIs" priority="24" operator="equal" dxfId="2">
      <formula>"D"</formula>
    </cfRule>
  </conditionalFormatting>
  <conditionalFormatting sqref="L3">
    <cfRule type="cellIs" priority="25" operator="equal" dxfId="0">
      <formula>"W"</formula>
    </cfRule>
    <cfRule type="cellIs" priority="26" operator="equal" dxfId="1">
      <formula>"L"</formula>
    </cfRule>
    <cfRule type="cellIs" priority="27" operator="equal" dxfId="2">
      <formula>"D"</formula>
    </cfRule>
  </conditionalFormatting>
  <conditionalFormatting sqref="M3">
    <cfRule type="cellIs" priority="28" operator="equal" dxfId="0">
      <formula>"W"</formula>
    </cfRule>
    <cfRule type="cellIs" priority="29" operator="equal" dxfId="1">
      <formula>"L"</formula>
    </cfRule>
    <cfRule type="cellIs" priority="30" operator="equal" dxfId="2">
      <formula>"D"</formula>
    </cfRule>
  </conditionalFormatting>
  <conditionalFormatting sqref="N3">
    <cfRule type="cellIs" priority="31" operator="equal" dxfId="0">
      <formula>"W"</formula>
    </cfRule>
    <cfRule type="cellIs" priority="32" operator="equal" dxfId="1">
      <formula>"L"</formula>
    </cfRule>
    <cfRule type="cellIs" priority="33" operator="equal" dxfId="2">
      <formula>"D"</formula>
    </cfRule>
  </conditionalFormatting>
  <conditionalFormatting sqref="O3">
    <cfRule type="cellIs" priority="34" operator="equal" dxfId="0">
      <formula>"W"</formula>
    </cfRule>
    <cfRule type="cellIs" priority="35" operator="equal" dxfId="1">
      <formula>"L"</formula>
    </cfRule>
    <cfRule type="cellIs" priority="36" operator="equal" dxfId="2">
      <formula>"D"</formula>
    </cfRule>
  </conditionalFormatting>
  <conditionalFormatting sqref="P3">
    <cfRule type="cellIs" priority="37" operator="equal" dxfId="0">
      <formula>"W"</formula>
    </cfRule>
    <cfRule type="cellIs" priority="38" operator="equal" dxfId="1">
      <formula>"L"</formula>
    </cfRule>
    <cfRule type="cellIs" priority="39" operator="equal" dxfId="2">
      <formula>"D"</formula>
    </cfRule>
  </conditionalFormatting>
  <conditionalFormatting sqref="Q3">
    <cfRule type="cellIs" priority="40" operator="equal" dxfId="0">
      <formula>"W"</formula>
    </cfRule>
    <cfRule type="cellIs" priority="41" operator="equal" dxfId="1">
      <formula>"L"</formula>
    </cfRule>
    <cfRule type="cellIs" priority="42" operator="equal" dxfId="2">
      <formula>"D"</formula>
    </cfRule>
  </conditionalFormatting>
  <conditionalFormatting sqref="R3">
    <cfRule type="cellIs" priority="43" operator="equal" dxfId="0">
      <formula>"W"</formula>
    </cfRule>
    <cfRule type="cellIs" priority="44" operator="equal" dxfId="1">
      <formula>"L"</formula>
    </cfRule>
    <cfRule type="cellIs" priority="45" operator="equal" dxfId="2">
      <formula>"D"</formula>
    </cfRule>
  </conditionalFormatting>
  <conditionalFormatting sqref="S3">
    <cfRule type="cellIs" priority="46" operator="equal" dxfId="0">
      <formula>"W"</formula>
    </cfRule>
    <cfRule type="cellIs" priority="47" operator="equal" dxfId="1">
      <formula>"L"</formula>
    </cfRule>
    <cfRule type="cellIs" priority="48" operator="equal" dxfId="2">
      <formula>"D"</formula>
    </cfRule>
  </conditionalFormatting>
  <conditionalFormatting sqref="T3">
    <cfRule type="cellIs" priority="49" operator="equal" dxfId="0">
      <formula>"W"</formula>
    </cfRule>
    <cfRule type="cellIs" priority="50" operator="equal" dxfId="1">
      <formula>"L"</formula>
    </cfRule>
    <cfRule type="cellIs" priority="51" operator="equal" dxfId="2">
      <formula>"D"</formula>
    </cfRule>
  </conditionalFormatting>
  <conditionalFormatting sqref="U3">
    <cfRule type="cellIs" priority="52" operator="equal" dxfId="0">
      <formula>"W"</formula>
    </cfRule>
    <cfRule type="cellIs" priority="53" operator="equal" dxfId="1">
      <formula>"L"</formula>
    </cfRule>
    <cfRule type="cellIs" priority="54" operator="equal" dxfId="2">
      <formula>"D"</formula>
    </cfRule>
  </conditionalFormatting>
  <conditionalFormatting sqref="V3">
    <cfRule type="cellIs" priority="55" operator="equal" dxfId="0">
      <formula>"W"</formula>
    </cfRule>
    <cfRule type="cellIs" priority="56" operator="equal" dxfId="1">
      <formula>"L"</formula>
    </cfRule>
    <cfRule type="cellIs" priority="57" operator="equal" dxfId="2">
      <formula>"D"</formula>
    </cfRule>
  </conditionalFormatting>
  <conditionalFormatting sqref="W3">
    <cfRule type="cellIs" priority="58" operator="equal" dxfId="0">
      <formula>"W"</formula>
    </cfRule>
    <cfRule type="cellIs" priority="59" operator="equal" dxfId="1">
      <formula>"L"</formula>
    </cfRule>
    <cfRule type="cellIs" priority="60" operator="equal" dxfId="2">
      <formula>"D"</formula>
    </cfRule>
  </conditionalFormatting>
  <conditionalFormatting sqref="X3">
    <cfRule type="cellIs" priority="61" operator="equal" dxfId="0">
      <formula>"W"</formula>
    </cfRule>
    <cfRule type="cellIs" priority="62" operator="equal" dxfId="1">
      <formula>"L"</formula>
    </cfRule>
    <cfRule type="cellIs" priority="63" operator="equal" dxfId="2">
      <formula>"D"</formula>
    </cfRule>
  </conditionalFormatting>
  <conditionalFormatting sqref="Y3">
    <cfRule type="cellIs" priority="64" operator="equal" dxfId="0">
      <formula>"W"</formula>
    </cfRule>
    <cfRule type="cellIs" priority="65" operator="equal" dxfId="1">
      <formula>"L"</formula>
    </cfRule>
    <cfRule type="cellIs" priority="66" operator="equal" dxfId="2">
      <formula>"D"</formula>
    </cfRule>
  </conditionalFormatting>
  <conditionalFormatting sqref="Z3">
    <cfRule type="cellIs" priority="67" operator="equal" dxfId="0">
      <formula>"W"</formula>
    </cfRule>
    <cfRule type="cellIs" priority="68" operator="equal" dxfId="1">
      <formula>"L"</formula>
    </cfRule>
    <cfRule type="cellIs" priority="69" operator="equal" dxfId="2">
      <formula>"D"</formula>
    </cfRule>
  </conditionalFormatting>
  <conditionalFormatting sqref="AA3">
    <cfRule type="cellIs" priority="70" operator="equal" dxfId="0">
      <formula>"W"</formula>
    </cfRule>
    <cfRule type="cellIs" priority="71" operator="equal" dxfId="1">
      <formula>"L"</formula>
    </cfRule>
    <cfRule type="cellIs" priority="72" operator="equal" dxfId="2">
      <formula>"D"</formula>
    </cfRule>
  </conditionalFormatting>
  <conditionalFormatting sqref="AB3">
    <cfRule type="cellIs" priority="73" operator="equal" dxfId="0">
      <formula>"W"</formula>
    </cfRule>
    <cfRule type="cellIs" priority="74" operator="equal" dxfId="1">
      <formula>"L"</formula>
    </cfRule>
    <cfRule type="cellIs" priority="75" operator="equal" dxfId="2">
      <formula>"D"</formula>
    </cfRule>
  </conditionalFormatting>
  <conditionalFormatting sqref="AC3">
    <cfRule type="cellIs" priority="76" operator="equal" dxfId="0">
      <formula>"W"</formula>
    </cfRule>
    <cfRule type="cellIs" priority="77" operator="equal" dxfId="1">
      <formula>"L"</formula>
    </cfRule>
    <cfRule type="cellIs" priority="78" operator="equal" dxfId="2">
      <formula>"D"</formula>
    </cfRule>
  </conditionalFormatting>
  <conditionalFormatting sqref="AD3">
    <cfRule type="cellIs" priority="79" operator="equal" dxfId="0">
      <formula>"W"</formula>
    </cfRule>
    <cfRule type="cellIs" priority="80" operator="equal" dxfId="1">
      <formula>"L"</formula>
    </cfRule>
    <cfRule type="cellIs" priority="81" operator="equal" dxfId="2">
      <formula>"D"</formula>
    </cfRule>
  </conditionalFormatting>
  <conditionalFormatting sqref="AE3">
    <cfRule type="cellIs" priority="82" operator="equal" dxfId="0">
      <formula>"W"</formula>
    </cfRule>
    <cfRule type="cellIs" priority="83" operator="equal" dxfId="1">
      <formula>"L"</formula>
    </cfRule>
    <cfRule type="cellIs" priority="84" operator="equal" dxfId="2">
      <formula>"D"</formula>
    </cfRule>
  </conditionalFormatting>
  <conditionalFormatting sqref="AF3">
    <cfRule type="cellIs" priority="85" operator="equal" dxfId="0">
      <formula>"W"</formula>
    </cfRule>
    <cfRule type="cellIs" priority="86" operator="equal" dxfId="1">
      <formula>"L"</formula>
    </cfRule>
    <cfRule type="cellIs" priority="87" operator="equal" dxfId="2">
      <formula>"D"</formula>
    </cfRule>
  </conditionalFormatting>
  <conditionalFormatting sqref="C4">
    <cfRule type="cellIs" priority="88" operator="equal" dxfId="0">
      <formula>"W"</formula>
    </cfRule>
    <cfRule type="cellIs" priority="89" operator="equal" dxfId="1">
      <formula>"L"</formula>
    </cfRule>
    <cfRule type="cellIs" priority="90" operator="equal" dxfId="2">
      <formula>"D"</formula>
    </cfRule>
  </conditionalFormatting>
  <conditionalFormatting sqref="E4">
    <cfRule type="cellIs" priority="91" operator="equal" dxfId="0">
      <formula>"W"</formula>
    </cfRule>
    <cfRule type="cellIs" priority="92" operator="equal" dxfId="1">
      <formula>"L"</formula>
    </cfRule>
    <cfRule type="cellIs" priority="93" operator="equal" dxfId="2">
      <formula>"D"</formula>
    </cfRule>
  </conditionalFormatting>
  <conditionalFormatting sqref="F4">
    <cfRule type="cellIs" priority="94" operator="equal" dxfId="0">
      <formula>"W"</formula>
    </cfRule>
    <cfRule type="cellIs" priority="95" operator="equal" dxfId="1">
      <formula>"L"</formula>
    </cfRule>
    <cfRule type="cellIs" priority="96" operator="equal" dxfId="2">
      <formula>"D"</formula>
    </cfRule>
  </conditionalFormatting>
  <conditionalFormatting sqref="G4">
    <cfRule type="cellIs" priority="97" operator="equal" dxfId="0">
      <formula>"W"</formula>
    </cfRule>
    <cfRule type="cellIs" priority="98" operator="equal" dxfId="1">
      <formula>"L"</formula>
    </cfRule>
    <cfRule type="cellIs" priority="99" operator="equal" dxfId="2">
      <formula>"D"</formula>
    </cfRule>
  </conditionalFormatting>
  <conditionalFormatting sqref="H4">
    <cfRule type="cellIs" priority="100" operator="equal" dxfId="0">
      <formula>"W"</formula>
    </cfRule>
    <cfRule type="cellIs" priority="101" operator="equal" dxfId="1">
      <formula>"L"</formula>
    </cfRule>
    <cfRule type="cellIs" priority="102" operator="equal" dxfId="2">
      <formula>"D"</formula>
    </cfRule>
  </conditionalFormatting>
  <conditionalFormatting sqref="I4">
    <cfRule type="cellIs" priority="103" operator="equal" dxfId="0">
      <formula>"W"</formula>
    </cfRule>
    <cfRule type="cellIs" priority="104" operator="equal" dxfId="1">
      <formula>"L"</formula>
    </cfRule>
    <cfRule type="cellIs" priority="105" operator="equal" dxfId="2">
      <formula>"D"</formula>
    </cfRule>
  </conditionalFormatting>
  <conditionalFormatting sqref="J4">
    <cfRule type="cellIs" priority="106" operator="equal" dxfId="0">
      <formula>"W"</formula>
    </cfRule>
    <cfRule type="cellIs" priority="107" operator="equal" dxfId="1">
      <formula>"L"</formula>
    </cfRule>
    <cfRule type="cellIs" priority="108" operator="equal" dxfId="2">
      <formula>"D"</formula>
    </cfRule>
  </conditionalFormatting>
  <conditionalFormatting sqref="K4">
    <cfRule type="cellIs" priority="109" operator="equal" dxfId="0">
      <formula>"W"</formula>
    </cfRule>
    <cfRule type="cellIs" priority="110" operator="equal" dxfId="1">
      <formula>"L"</formula>
    </cfRule>
    <cfRule type="cellIs" priority="111" operator="equal" dxfId="2">
      <formula>"D"</formula>
    </cfRule>
  </conditionalFormatting>
  <conditionalFormatting sqref="L4">
    <cfRule type="cellIs" priority="112" operator="equal" dxfId="0">
      <formula>"W"</formula>
    </cfRule>
    <cfRule type="cellIs" priority="113" operator="equal" dxfId="1">
      <formula>"L"</formula>
    </cfRule>
    <cfRule type="cellIs" priority="114" operator="equal" dxfId="2">
      <formula>"D"</formula>
    </cfRule>
  </conditionalFormatting>
  <conditionalFormatting sqref="M4">
    <cfRule type="cellIs" priority="115" operator="equal" dxfId="0">
      <formula>"W"</formula>
    </cfRule>
    <cfRule type="cellIs" priority="116" operator="equal" dxfId="1">
      <formula>"L"</formula>
    </cfRule>
    <cfRule type="cellIs" priority="117" operator="equal" dxfId="2">
      <formula>"D"</formula>
    </cfRule>
  </conditionalFormatting>
  <conditionalFormatting sqref="N4">
    <cfRule type="cellIs" priority="118" operator="equal" dxfId="0">
      <formula>"W"</formula>
    </cfRule>
    <cfRule type="cellIs" priority="119" operator="equal" dxfId="1">
      <formula>"L"</formula>
    </cfRule>
    <cfRule type="cellIs" priority="120" operator="equal" dxfId="2">
      <formula>"D"</formula>
    </cfRule>
  </conditionalFormatting>
  <conditionalFormatting sqref="O4">
    <cfRule type="cellIs" priority="121" operator="equal" dxfId="0">
      <formula>"W"</formula>
    </cfRule>
    <cfRule type="cellIs" priority="122" operator="equal" dxfId="1">
      <formula>"L"</formula>
    </cfRule>
    <cfRule type="cellIs" priority="123" operator="equal" dxfId="2">
      <formula>"D"</formula>
    </cfRule>
  </conditionalFormatting>
  <conditionalFormatting sqref="P4">
    <cfRule type="cellIs" priority="124" operator="equal" dxfId="0">
      <formula>"W"</formula>
    </cfRule>
    <cfRule type="cellIs" priority="125" operator="equal" dxfId="1">
      <formula>"L"</formula>
    </cfRule>
    <cfRule type="cellIs" priority="126" operator="equal" dxfId="2">
      <formula>"D"</formula>
    </cfRule>
  </conditionalFormatting>
  <conditionalFormatting sqref="Q4">
    <cfRule type="cellIs" priority="127" operator="equal" dxfId="0">
      <formula>"W"</formula>
    </cfRule>
    <cfRule type="cellIs" priority="128" operator="equal" dxfId="1">
      <formula>"L"</formula>
    </cfRule>
    <cfRule type="cellIs" priority="129" operator="equal" dxfId="2">
      <formula>"D"</formula>
    </cfRule>
  </conditionalFormatting>
  <conditionalFormatting sqref="R4">
    <cfRule type="cellIs" priority="130" operator="equal" dxfId="0">
      <formula>"W"</formula>
    </cfRule>
    <cfRule type="cellIs" priority="131" operator="equal" dxfId="1">
      <formula>"L"</formula>
    </cfRule>
    <cfRule type="cellIs" priority="132" operator="equal" dxfId="2">
      <formula>"D"</formula>
    </cfRule>
  </conditionalFormatting>
  <conditionalFormatting sqref="S4">
    <cfRule type="cellIs" priority="133" operator="equal" dxfId="0">
      <formula>"W"</formula>
    </cfRule>
    <cfRule type="cellIs" priority="134" operator="equal" dxfId="1">
      <formula>"L"</formula>
    </cfRule>
    <cfRule type="cellIs" priority="135" operator="equal" dxfId="2">
      <formula>"D"</formula>
    </cfRule>
  </conditionalFormatting>
  <conditionalFormatting sqref="T4">
    <cfRule type="cellIs" priority="136" operator="equal" dxfId="0">
      <formula>"W"</formula>
    </cfRule>
    <cfRule type="cellIs" priority="137" operator="equal" dxfId="1">
      <formula>"L"</formula>
    </cfRule>
    <cfRule type="cellIs" priority="138" operator="equal" dxfId="2">
      <formula>"D"</formula>
    </cfRule>
  </conditionalFormatting>
  <conditionalFormatting sqref="U4">
    <cfRule type="cellIs" priority="139" operator="equal" dxfId="0">
      <formula>"W"</formula>
    </cfRule>
    <cfRule type="cellIs" priority="140" operator="equal" dxfId="1">
      <formula>"L"</formula>
    </cfRule>
    <cfRule type="cellIs" priority="141" operator="equal" dxfId="2">
      <formula>"D"</formula>
    </cfRule>
  </conditionalFormatting>
  <conditionalFormatting sqref="V4">
    <cfRule type="cellIs" priority="142" operator="equal" dxfId="0">
      <formula>"W"</formula>
    </cfRule>
    <cfRule type="cellIs" priority="143" operator="equal" dxfId="1">
      <formula>"L"</formula>
    </cfRule>
    <cfRule type="cellIs" priority="144" operator="equal" dxfId="2">
      <formula>"D"</formula>
    </cfRule>
  </conditionalFormatting>
  <conditionalFormatting sqref="W4">
    <cfRule type="cellIs" priority="145" operator="equal" dxfId="0">
      <formula>"W"</formula>
    </cfRule>
    <cfRule type="cellIs" priority="146" operator="equal" dxfId="1">
      <formula>"L"</formula>
    </cfRule>
    <cfRule type="cellIs" priority="147" operator="equal" dxfId="2">
      <formula>"D"</formula>
    </cfRule>
  </conditionalFormatting>
  <conditionalFormatting sqref="X4">
    <cfRule type="cellIs" priority="148" operator="equal" dxfId="0">
      <formula>"W"</formula>
    </cfRule>
    <cfRule type="cellIs" priority="149" operator="equal" dxfId="1">
      <formula>"L"</formula>
    </cfRule>
    <cfRule type="cellIs" priority="150" operator="equal" dxfId="2">
      <formula>"D"</formula>
    </cfRule>
  </conditionalFormatting>
  <conditionalFormatting sqref="Y4">
    <cfRule type="cellIs" priority="151" operator="equal" dxfId="0">
      <formula>"W"</formula>
    </cfRule>
    <cfRule type="cellIs" priority="152" operator="equal" dxfId="1">
      <formula>"L"</formula>
    </cfRule>
    <cfRule type="cellIs" priority="153" operator="equal" dxfId="2">
      <formula>"D"</formula>
    </cfRule>
  </conditionalFormatting>
  <conditionalFormatting sqref="Z4">
    <cfRule type="cellIs" priority="154" operator="equal" dxfId="0">
      <formula>"W"</formula>
    </cfRule>
    <cfRule type="cellIs" priority="155" operator="equal" dxfId="1">
      <formula>"L"</formula>
    </cfRule>
    <cfRule type="cellIs" priority="156" operator="equal" dxfId="2">
      <formula>"D"</formula>
    </cfRule>
  </conditionalFormatting>
  <conditionalFormatting sqref="AA4">
    <cfRule type="cellIs" priority="157" operator="equal" dxfId="0">
      <formula>"W"</formula>
    </cfRule>
    <cfRule type="cellIs" priority="158" operator="equal" dxfId="1">
      <formula>"L"</formula>
    </cfRule>
    <cfRule type="cellIs" priority="159" operator="equal" dxfId="2">
      <formula>"D"</formula>
    </cfRule>
  </conditionalFormatting>
  <conditionalFormatting sqref="AB4">
    <cfRule type="cellIs" priority="160" operator="equal" dxfId="0">
      <formula>"W"</formula>
    </cfRule>
    <cfRule type="cellIs" priority="161" operator="equal" dxfId="1">
      <formula>"L"</formula>
    </cfRule>
    <cfRule type="cellIs" priority="162" operator="equal" dxfId="2">
      <formula>"D"</formula>
    </cfRule>
  </conditionalFormatting>
  <conditionalFormatting sqref="AC4">
    <cfRule type="cellIs" priority="163" operator="equal" dxfId="0">
      <formula>"W"</formula>
    </cfRule>
    <cfRule type="cellIs" priority="164" operator="equal" dxfId="1">
      <formula>"L"</formula>
    </cfRule>
    <cfRule type="cellIs" priority="165" operator="equal" dxfId="2">
      <formula>"D"</formula>
    </cfRule>
  </conditionalFormatting>
  <conditionalFormatting sqref="AD4">
    <cfRule type="cellIs" priority="166" operator="equal" dxfId="0">
      <formula>"W"</formula>
    </cfRule>
    <cfRule type="cellIs" priority="167" operator="equal" dxfId="1">
      <formula>"L"</formula>
    </cfRule>
    <cfRule type="cellIs" priority="168" operator="equal" dxfId="2">
      <formula>"D"</formula>
    </cfRule>
  </conditionalFormatting>
  <conditionalFormatting sqref="AE4">
    <cfRule type="cellIs" priority="169" operator="equal" dxfId="0">
      <formula>"W"</formula>
    </cfRule>
    <cfRule type="cellIs" priority="170" operator="equal" dxfId="1">
      <formula>"L"</formula>
    </cfRule>
    <cfRule type="cellIs" priority="171" operator="equal" dxfId="2">
      <formula>"D"</formula>
    </cfRule>
  </conditionalFormatting>
  <conditionalFormatting sqref="AF4">
    <cfRule type="cellIs" priority="172" operator="equal" dxfId="0">
      <formula>"W"</formula>
    </cfRule>
    <cfRule type="cellIs" priority="173" operator="equal" dxfId="1">
      <formula>"L"</formula>
    </cfRule>
    <cfRule type="cellIs" priority="174" operator="equal" dxfId="2">
      <formula>"D"</formula>
    </cfRule>
  </conditionalFormatting>
  <conditionalFormatting sqref="C5">
    <cfRule type="cellIs" priority="175" operator="equal" dxfId="0">
      <formula>"W"</formula>
    </cfRule>
    <cfRule type="cellIs" priority="176" operator="equal" dxfId="1">
      <formula>"L"</formula>
    </cfRule>
    <cfRule type="cellIs" priority="177" operator="equal" dxfId="2">
      <formula>"D"</formula>
    </cfRule>
  </conditionalFormatting>
  <conditionalFormatting sqref="D5">
    <cfRule type="cellIs" priority="178" operator="equal" dxfId="0">
      <formula>"W"</formula>
    </cfRule>
    <cfRule type="cellIs" priority="179" operator="equal" dxfId="1">
      <formula>"L"</formula>
    </cfRule>
    <cfRule type="cellIs" priority="180" operator="equal" dxfId="2">
      <formula>"D"</formula>
    </cfRule>
  </conditionalFormatting>
  <conditionalFormatting sqref="F5">
    <cfRule type="cellIs" priority="181" operator="equal" dxfId="0">
      <formula>"W"</formula>
    </cfRule>
    <cfRule type="cellIs" priority="182" operator="equal" dxfId="1">
      <formula>"L"</formula>
    </cfRule>
    <cfRule type="cellIs" priority="183" operator="equal" dxfId="2">
      <formula>"D"</formula>
    </cfRule>
  </conditionalFormatting>
  <conditionalFormatting sqref="G5">
    <cfRule type="cellIs" priority="184" operator="equal" dxfId="0">
      <formula>"W"</formula>
    </cfRule>
    <cfRule type="cellIs" priority="185" operator="equal" dxfId="1">
      <formula>"L"</formula>
    </cfRule>
    <cfRule type="cellIs" priority="186" operator="equal" dxfId="2">
      <formula>"D"</formula>
    </cfRule>
  </conditionalFormatting>
  <conditionalFormatting sqref="H5">
    <cfRule type="cellIs" priority="187" operator="equal" dxfId="0">
      <formula>"W"</formula>
    </cfRule>
    <cfRule type="cellIs" priority="188" operator="equal" dxfId="1">
      <formula>"L"</formula>
    </cfRule>
    <cfRule type="cellIs" priority="189" operator="equal" dxfId="2">
      <formula>"D"</formula>
    </cfRule>
  </conditionalFormatting>
  <conditionalFormatting sqref="I5">
    <cfRule type="cellIs" priority="190" operator="equal" dxfId="0">
      <formula>"W"</formula>
    </cfRule>
    <cfRule type="cellIs" priority="191" operator="equal" dxfId="1">
      <formula>"L"</formula>
    </cfRule>
    <cfRule type="cellIs" priority="192" operator="equal" dxfId="2">
      <formula>"D"</formula>
    </cfRule>
  </conditionalFormatting>
  <conditionalFormatting sqref="J5">
    <cfRule type="cellIs" priority="193" operator="equal" dxfId="0">
      <formula>"W"</formula>
    </cfRule>
    <cfRule type="cellIs" priority="194" operator="equal" dxfId="1">
      <formula>"L"</formula>
    </cfRule>
    <cfRule type="cellIs" priority="195" operator="equal" dxfId="2">
      <formula>"D"</formula>
    </cfRule>
  </conditionalFormatting>
  <conditionalFormatting sqref="K5">
    <cfRule type="cellIs" priority="196" operator="equal" dxfId="0">
      <formula>"W"</formula>
    </cfRule>
    <cfRule type="cellIs" priority="197" operator="equal" dxfId="1">
      <formula>"L"</formula>
    </cfRule>
    <cfRule type="cellIs" priority="198" operator="equal" dxfId="2">
      <formula>"D"</formula>
    </cfRule>
  </conditionalFormatting>
  <conditionalFormatting sqref="L5">
    <cfRule type="cellIs" priority="199" operator="equal" dxfId="0">
      <formula>"W"</formula>
    </cfRule>
    <cfRule type="cellIs" priority="200" operator="equal" dxfId="1">
      <formula>"L"</formula>
    </cfRule>
    <cfRule type="cellIs" priority="201" operator="equal" dxfId="2">
      <formula>"D"</formula>
    </cfRule>
  </conditionalFormatting>
  <conditionalFormatting sqref="M5">
    <cfRule type="cellIs" priority="202" operator="equal" dxfId="0">
      <formula>"W"</formula>
    </cfRule>
    <cfRule type="cellIs" priority="203" operator="equal" dxfId="1">
      <formula>"L"</formula>
    </cfRule>
    <cfRule type="cellIs" priority="204" operator="equal" dxfId="2">
      <formula>"D"</formula>
    </cfRule>
  </conditionalFormatting>
  <conditionalFormatting sqref="N5">
    <cfRule type="cellIs" priority="205" operator="equal" dxfId="0">
      <formula>"W"</formula>
    </cfRule>
    <cfRule type="cellIs" priority="206" operator="equal" dxfId="1">
      <formula>"L"</formula>
    </cfRule>
    <cfRule type="cellIs" priority="207" operator="equal" dxfId="2">
      <formula>"D"</formula>
    </cfRule>
  </conditionalFormatting>
  <conditionalFormatting sqref="O5">
    <cfRule type="cellIs" priority="208" operator="equal" dxfId="0">
      <formula>"W"</formula>
    </cfRule>
    <cfRule type="cellIs" priority="209" operator="equal" dxfId="1">
      <formula>"L"</formula>
    </cfRule>
    <cfRule type="cellIs" priority="210" operator="equal" dxfId="2">
      <formula>"D"</formula>
    </cfRule>
  </conditionalFormatting>
  <conditionalFormatting sqref="P5">
    <cfRule type="cellIs" priority="211" operator="equal" dxfId="0">
      <formula>"W"</formula>
    </cfRule>
    <cfRule type="cellIs" priority="212" operator="equal" dxfId="1">
      <formula>"L"</formula>
    </cfRule>
    <cfRule type="cellIs" priority="213" operator="equal" dxfId="2">
      <formula>"D"</formula>
    </cfRule>
  </conditionalFormatting>
  <conditionalFormatting sqref="Q5">
    <cfRule type="cellIs" priority="214" operator="equal" dxfId="0">
      <formula>"W"</formula>
    </cfRule>
    <cfRule type="cellIs" priority="215" operator="equal" dxfId="1">
      <formula>"L"</formula>
    </cfRule>
    <cfRule type="cellIs" priority="216" operator="equal" dxfId="2">
      <formula>"D"</formula>
    </cfRule>
  </conditionalFormatting>
  <conditionalFormatting sqref="R5">
    <cfRule type="cellIs" priority="217" operator="equal" dxfId="0">
      <formula>"W"</formula>
    </cfRule>
    <cfRule type="cellIs" priority="218" operator="equal" dxfId="1">
      <formula>"L"</formula>
    </cfRule>
    <cfRule type="cellIs" priority="219" operator="equal" dxfId="2">
      <formula>"D"</formula>
    </cfRule>
  </conditionalFormatting>
  <conditionalFormatting sqref="S5">
    <cfRule type="cellIs" priority="220" operator="equal" dxfId="0">
      <formula>"W"</formula>
    </cfRule>
    <cfRule type="cellIs" priority="221" operator="equal" dxfId="1">
      <formula>"L"</formula>
    </cfRule>
    <cfRule type="cellIs" priority="222" operator="equal" dxfId="2">
      <formula>"D"</formula>
    </cfRule>
  </conditionalFormatting>
  <conditionalFormatting sqref="T5">
    <cfRule type="cellIs" priority="223" operator="equal" dxfId="0">
      <formula>"W"</formula>
    </cfRule>
    <cfRule type="cellIs" priority="224" operator="equal" dxfId="1">
      <formula>"L"</formula>
    </cfRule>
    <cfRule type="cellIs" priority="225" operator="equal" dxfId="2">
      <formula>"D"</formula>
    </cfRule>
  </conditionalFormatting>
  <conditionalFormatting sqref="U5">
    <cfRule type="cellIs" priority="226" operator="equal" dxfId="0">
      <formula>"W"</formula>
    </cfRule>
    <cfRule type="cellIs" priority="227" operator="equal" dxfId="1">
      <formula>"L"</formula>
    </cfRule>
    <cfRule type="cellIs" priority="228" operator="equal" dxfId="2">
      <formula>"D"</formula>
    </cfRule>
  </conditionalFormatting>
  <conditionalFormatting sqref="V5">
    <cfRule type="cellIs" priority="229" operator="equal" dxfId="0">
      <formula>"W"</formula>
    </cfRule>
    <cfRule type="cellIs" priority="230" operator="equal" dxfId="1">
      <formula>"L"</formula>
    </cfRule>
    <cfRule type="cellIs" priority="231" operator="equal" dxfId="2">
      <formula>"D"</formula>
    </cfRule>
  </conditionalFormatting>
  <conditionalFormatting sqref="W5">
    <cfRule type="cellIs" priority="232" operator="equal" dxfId="0">
      <formula>"W"</formula>
    </cfRule>
    <cfRule type="cellIs" priority="233" operator="equal" dxfId="1">
      <formula>"L"</formula>
    </cfRule>
    <cfRule type="cellIs" priority="234" operator="equal" dxfId="2">
      <formula>"D"</formula>
    </cfRule>
  </conditionalFormatting>
  <conditionalFormatting sqref="X5">
    <cfRule type="cellIs" priority="235" operator="equal" dxfId="0">
      <formula>"W"</formula>
    </cfRule>
    <cfRule type="cellIs" priority="236" operator="equal" dxfId="1">
      <formula>"L"</formula>
    </cfRule>
    <cfRule type="cellIs" priority="237" operator="equal" dxfId="2">
      <formula>"D"</formula>
    </cfRule>
  </conditionalFormatting>
  <conditionalFormatting sqref="Y5">
    <cfRule type="cellIs" priority="238" operator="equal" dxfId="0">
      <formula>"W"</formula>
    </cfRule>
    <cfRule type="cellIs" priority="239" operator="equal" dxfId="1">
      <formula>"L"</formula>
    </cfRule>
    <cfRule type="cellIs" priority="240" operator="equal" dxfId="2">
      <formula>"D"</formula>
    </cfRule>
  </conditionalFormatting>
  <conditionalFormatting sqref="Z5">
    <cfRule type="cellIs" priority="241" operator="equal" dxfId="0">
      <formula>"W"</formula>
    </cfRule>
    <cfRule type="cellIs" priority="242" operator="equal" dxfId="1">
      <formula>"L"</formula>
    </cfRule>
    <cfRule type="cellIs" priority="243" operator="equal" dxfId="2">
      <formula>"D"</formula>
    </cfRule>
  </conditionalFormatting>
  <conditionalFormatting sqref="AA5">
    <cfRule type="cellIs" priority="244" operator="equal" dxfId="0">
      <formula>"W"</formula>
    </cfRule>
    <cfRule type="cellIs" priority="245" operator="equal" dxfId="1">
      <formula>"L"</formula>
    </cfRule>
    <cfRule type="cellIs" priority="246" operator="equal" dxfId="2">
      <formula>"D"</formula>
    </cfRule>
  </conditionalFormatting>
  <conditionalFormatting sqref="AB5">
    <cfRule type="cellIs" priority="247" operator="equal" dxfId="0">
      <formula>"W"</formula>
    </cfRule>
    <cfRule type="cellIs" priority="248" operator="equal" dxfId="1">
      <formula>"L"</formula>
    </cfRule>
    <cfRule type="cellIs" priority="249" operator="equal" dxfId="2">
      <formula>"D"</formula>
    </cfRule>
  </conditionalFormatting>
  <conditionalFormatting sqref="AC5">
    <cfRule type="cellIs" priority="250" operator="equal" dxfId="0">
      <formula>"W"</formula>
    </cfRule>
    <cfRule type="cellIs" priority="251" operator="equal" dxfId="1">
      <formula>"L"</formula>
    </cfRule>
    <cfRule type="cellIs" priority="252" operator="equal" dxfId="2">
      <formula>"D"</formula>
    </cfRule>
  </conditionalFormatting>
  <conditionalFormatting sqref="AD5">
    <cfRule type="cellIs" priority="253" operator="equal" dxfId="0">
      <formula>"W"</formula>
    </cfRule>
    <cfRule type="cellIs" priority="254" operator="equal" dxfId="1">
      <formula>"L"</formula>
    </cfRule>
    <cfRule type="cellIs" priority="255" operator="equal" dxfId="2">
      <formula>"D"</formula>
    </cfRule>
  </conditionalFormatting>
  <conditionalFormatting sqref="AE5">
    <cfRule type="cellIs" priority="256" operator="equal" dxfId="0">
      <formula>"W"</formula>
    </cfRule>
    <cfRule type="cellIs" priority="257" operator="equal" dxfId="1">
      <formula>"L"</formula>
    </cfRule>
    <cfRule type="cellIs" priority="258" operator="equal" dxfId="2">
      <formula>"D"</formula>
    </cfRule>
  </conditionalFormatting>
  <conditionalFormatting sqref="AF5">
    <cfRule type="cellIs" priority="259" operator="equal" dxfId="0">
      <formula>"W"</formula>
    </cfRule>
    <cfRule type="cellIs" priority="260" operator="equal" dxfId="1">
      <formula>"L"</formula>
    </cfRule>
    <cfRule type="cellIs" priority="261" operator="equal" dxfId="2">
      <formula>"D"</formula>
    </cfRule>
  </conditionalFormatting>
  <conditionalFormatting sqref="C6">
    <cfRule type="cellIs" priority="262" operator="equal" dxfId="0">
      <formula>"W"</formula>
    </cfRule>
    <cfRule type="cellIs" priority="263" operator="equal" dxfId="1">
      <formula>"L"</formula>
    </cfRule>
    <cfRule type="cellIs" priority="264" operator="equal" dxfId="2">
      <formula>"D"</formula>
    </cfRule>
  </conditionalFormatting>
  <conditionalFormatting sqref="D6">
    <cfRule type="cellIs" priority="265" operator="equal" dxfId="0">
      <formula>"W"</formula>
    </cfRule>
    <cfRule type="cellIs" priority="266" operator="equal" dxfId="1">
      <formula>"L"</formula>
    </cfRule>
    <cfRule type="cellIs" priority="267" operator="equal" dxfId="2">
      <formula>"D"</formula>
    </cfRule>
  </conditionalFormatting>
  <conditionalFormatting sqref="E6">
    <cfRule type="cellIs" priority="268" operator="equal" dxfId="0">
      <formula>"W"</formula>
    </cfRule>
    <cfRule type="cellIs" priority="269" operator="equal" dxfId="1">
      <formula>"L"</formula>
    </cfRule>
    <cfRule type="cellIs" priority="270" operator="equal" dxfId="2">
      <formula>"D"</formula>
    </cfRule>
  </conditionalFormatting>
  <conditionalFormatting sqref="G6">
    <cfRule type="cellIs" priority="271" operator="equal" dxfId="0">
      <formula>"W"</formula>
    </cfRule>
    <cfRule type="cellIs" priority="272" operator="equal" dxfId="1">
      <formula>"L"</formula>
    </cfRule>
    <cfRule type="cellIs" priority="273" operator="equal" dxfId="2">
      <formula>"D"</formula>
    </cfRule>
  </conditionalFormatting>
  <conditionalFormatting sqref="H6">
    <cfRule type="cellIs" priority="274" operator="equal" dxfId="0">
      <formula>"W"</formula>
    </cfRule>
    <cfRule type="cellIs" priority="275" operator="equal" dxfId="1">
      <formula>"L"</formula>
    </cfRule>
    <cfRule type="cellIs" priority="276" operator="equal" dxfId="2">
      <formula>"D"</formula>
    </cfRule>
  </conditionalFormatting>
  <conditionalFormatting sqref="I6">
    <cfRule type="cellIs" priority="277" operator="equal" dxfId="0">
      <formula>"W"</formula>
    </cfRule>
    <cfRule type="cellIs" priority="278" operator="equal" dxfId="1">
      <formula>"L"</formula>
    </cfRule>
    <cfRule type="cellIs" priority="279" operator="equal" dxfId="2">
      <formula>"D"</formula>
    </cfRule>
  </conditionalFormatting>
  <conditionalFormatting sqref="J6">
    <cfRule type="cellIs" priority="280" operator="equal" dxfId="0">
      <formula>"W"</formula>
    </cfRule>
    <cfRule type="cellIs" priority="281" operator="equal" dxfId="1">
      <formula>"L"</formula>
    </cfRule>
    <cfRule type="cellIs" priority="282" operator="equal" dxfId="2">
      <formula>"D"</formula>
    </cfRule>
  </conditionalFormatting>
  <conditionalFormatting sqref="K6">
    <cfRule type="cellIs" priority="283" operator="equal" dxfId="0">
      <formula>"W"</formula>
    </cfRule>
    <cfRule type="cellIs" priority="284" operator="equal" dxfId="1">
      <formula>"L"</formula>
    </cfRule>
    <cfRule type="cellIs" priority="285" operator="equal" dxfId="2">
      <formula>"D"</formula>
    </cfRule>
  </conditionalFormatting>
  <conditionalFormatting sqref="L6">
    <cfRule type="cellIs" priority="286" operator="equal" dxfId="0">
      <formula>"W"</formula>
    </cfRule>
    <cfRule type="cellIs" priority="287" operator="equal" dxfId="1">
      <formula>"L"</formula>
    </cfRule>
    <cfRule type="cellIs" priority="288" operator="equal" dxfId="2">
      <formula>"D"</formula>
    </cfRule>
  </conditionalFormatting>
  <conditionalFormatting sqref="M6">
    <cfRule type="cellIs" priority="289" operator="equal" dxfId="0">
      <formula>"W"</formula>
    </cfRule>
    <cfRule type="cellIs" priority="290" operator="equal" dxfId="1">
      <formula>"L"</formula>
    </cfRule>
    <cfRule type="cellIs" priority="291" operator="equal" dxfId="2">
      <formula>"D"</formula>
    </cfRule>
  </conditionalFormatting>
  <conditionalFormatting sqref="N6">
    <cfRule type="cellIs" priority="292" operator="equal" dxfId="0">
      <formula>"W"</formula>
    </cfRule>
    <cfRule type="cellIs" priority="293" operator="equal" dxfId="1">
      <formula>"L"</formula>
    </cfRule>
    <cfRule type="cellIs" priority="294" operator="equal" dxfId="2">
      <formula>"D"</formula>
    </cfRule>
  </conditionalFormatting>
  <conditionalFormatting sqref="O6">
    <cfRule type="cellIs" priority="295" operator="equal" dxfId="0">
      <formula>"W"</formula>
    </cfRule>
    <cfRule type="cellIs" priority="296" operator="equal" dxfId="1">
      <formula>"L"</formula>
    </cfRule>
    <cfRule type="cellIs" priority="297" operator="equal" dxfId="2">
      <formula>"D"</formula>
    </cfRule>
  </conditionalFormatting>
  <conditionalFormatting sqref="P6">
    <cfRule type="cellIs" priority="298" operator="equal" dxfId="0">
      <formula>"W"</formula>
    </cfRule>
    <cfRule type="cellIs" priority="299" operator="equal" dxfId="1">
      <formula>"L"</formula>
    </cfRule>
    <cfRule type="cellIs" priority="300" operator="equal" dxfId="2">
      <formula>"D"</formula>
    </cfRule>
  </conditionalFormatting>
  <conditionalFormatting sqref="Q6">
    <cfRule type="cellIs" priority="301" operator="equal" dxfId="0">
      <formula>"W"</formula>
    </cfRule>
    <cfRule type="cellIs" priority="302" operator="equal" dxfId="1">
      <formula>"L"</formula>
    </cfRule>
    <cfRule type="cellIs" priority="303" operator="equal" dxfId="2">
      <formula>"D"</formula>
    </cfRule>
  </conditionalFormatting>
  <conditionalFormatting sqref="R6">
    <cfRule type="cellIs" priority="304" operator="equal" dxfId="0">
      <formula>"W"</formula>
    </cfRule>
    <cfRule type="cellIs" priority="305" operator="equal" dxfId="1">
      <formula>"L"</formula>
    </cfRule>
    <cfRule type="cellIs" priority="306" operator="equal" dxfId="2">
      <formula>"D"</formula>
    </cfRule>
  </conditionalFormatting>
  <conditionalFormatting sqref="S6">
    <cfRule type="cellIs" priority="307" operator="equal" dxfId="0">
      <formula>"W"</formula>
    </cfRule>
    <cfRule type="cellIs" priority="308" operator="equal" dxfId="1">
      <formula>"L"</formula>
    </cfRule>
    <cfRule type="cellIs" priority="309" operator="equal" dxfId="2">
      <formula>"D"</formula>
    </cfRule>
  </conditionalFormatting>
  <conditionalFormatting sqref="T6">
    <cfRule type="cellIs" priority="310" operator="equal" dxfId="0">
      <formula>"W"</formula>
    </cfRule>
    <cfRule type="cellIs" priority="311" operator="equal" dxfId="1">
      <formula>"L"</formula>
    </cfRule>
    <cfRule type="cellIs" priority="312" operator="equal" dxfId="2">
      <formula>"D"</formula>
    </cfRule>
  </conditionalFormatting>
  <conditionalFormatting sqref="U6">
    <cfRule type="cellIs" priority="313" operator="equal" dxfId="0">
      <formula>"W"</formula>
    </cfRule>
    <cfRule type="cellIs" priority="314" operator="equal" dxfId="1">
      <formula>"L"</formula>
    </cfRule>
    <cfRule type="cellIs" priority="315" operator="equal" dxfId="2">
      <formula>"D"</formula>
    </cfRule>
  </conditionalFormatting>
  <conditionalFormatting sqref="V6">
    <cfRule type="cellIs" priority="316" operator="equal" dxfId="0">
      <formula>"W"</formula>
    </cfRule>
    <cfRule type="cellIs" priority="317" operator="equal" dxfId="1">
      <formula>"L"</formula>
    </cfRule>
    <cfRule type="cellIs" priority="318" operator="equal" dxfId="2">
      <formula>"D"</formula>
    </cfRule>
  </conditionalFormatting>
  <conditionalFormatting sqref="W6">
    <cfRule type="cellIs" priority="319" operator="equal" dxfId="0">
      <formula>"W"</formula>
    </cfRule>
    <cfRule type="cellIs" priority="320" operator="equal" dxfId="1">
      <formula>"L"</formula>
    </cfRule>
    <cfRule type="cellIs" priority="321" operator="equal" dxfId="2">
      <formula>"D"</formula>
    </cfRule>
  </conditionalFormatting>
  <conditionalFormatting sqref="X6">
    <cfRule type="cellIs" priority="322" operator="equal" dxfId="0">
      <formula>"W"</formula>
    </cfRule>
    <cfRule type="cellIs" priority="323" operator="equal" dxfId="1">
      <formula>"L"</formula>
    </cfRule>
    <cfRule type="cellIs" priority="324" operator="equal" dxfId="2">
      <formula>"D"</formula>
    </cfRule>
  </conditionalFormatting>
  <conditionalFormatting sqref="Y6">
    <cfRule type="cellIs" priority="325" operator="equal" dxfId="0">
      <formula>"W"</formula>
    </cfRule>
    <cfRule type="cellIs" priority="326" operator="equal" dxfId="1">
      <formula>"L"</formula>
    </cfRule>
    <cfRule type="cellIs" priority="327" operator="equal" dxfId="2">
      <formula>"D"</formula>
    </cfRule>
  </conditionalFormatting>
  <conditionalFormatting sqref="Z6">
    <cfRule type="cellIs" priority="328" operator="equal" dxfId="0">
      <formula>"W"</formula>
    </cfRule>
    <cfRule type="cellIs" priority="329" operator="equal" dxfId="1">
      <formula>"L"</formula>
    </cfRule>
    <cfRule type="cellIs" priority="330" operator="equal" dxfId="2">
      <formula>"D"</formula>
    </cfRule>
  </conditionalFormatting>
  <conditionalFormatting sqref="AA6">
    <cfRule type="cellIs" priority="331" operator="equal" dxfId="0">
      <formula>"W"</formula>
    </cfRule>
    <cfRule type="cellIs" priority="332" operator="equal" dxfId="1">
      <formula>"L"</formula>
    </cfRule>
    <cfRule type="cellIs" priority="333" operator="equal" dxfId="2">
      <formula>"D"</formula>
    </cfRule>
  </conditionalFormatting>
  <conditionalFormatting sqref="AB6">
    <cfRule type="cellIs" priority="334" operator="equal" dxfId="0">
      <formula>"W"</formula>
    </cfRule>
    <cfRule type="cellIs" priority="335" operator="equal" dxfId="1">
      <formula>"L"</formula>
    </cfRule>
    <cfRule type="cellIs" priority="336" operator="equal" dxfId="2">
      <formula>"D"</formula>
    </cfRule>
  </conditionalFormatting>
  <conditionalFormatting sqref="AC6">
    <cfRule type="cellIs" priority="337" operator="equal" dxfId="0">
      <formula>"W"</formula>
    </cfRule>
    <cfRule type="cellIs" priority="338" operator="equal" dxfId="1">
      <formula>"L"</formula>
    </cfRule>
    <cfRule type="cellIs" priority="339" operator="equal" dxfId="2">
      <formula>"D"</formula>
    </cfRule>
  </conditionalFormatting>
  <conditionalFormatting sqref="AD6">
    <cfRule type="cellIs" priority="340" operator="equal" dxfId="0">
      <formula>"W"</formula>
    </cfRule>
    <cfRule type="cellIs" priority="341" operator="equal" dxfId="1">
      <formula>"L"</formula>
    </cfRule>
    <cfRule type="cellIs" priority="342" operator="equal" dxfId="2">
      <formula>"D"</formula>
    </cfRule>
  </conditionalFormatting>
  <conditionalFormatting sqref="AE6">
    <cfRule type="cellIs" priority="343" operator="equal" dxfId="0">
      <formula>"W"</formula>
    </cfRule>
    <cfRule type="cellIs" priority="344" operator="equal" dxfId="1">
      <formula>"L"</formula>
    </cfRule>
    <cfRule type="cellIs" priority="345" operator="equal" dxfId="2">
      <formula>"D"</formula>
    </cfRule>
  </conditionalFormatting>
  <conditionalFormatting sqref="AF6">
    <cfRule type="cellIs" priority="346" operator="equal" dxfId="0">
      <formula>"W"</formula>
    </cfRule>
    <cfRule type="cellIs" priority="347" operator="equal" dxfId="1">
      <formula>"L"</formula>
    </cfRule>
    <cfRule type="cellIs" priority="348" operator="equal" dxfId="2">
      <formula>"D"</formula>
    </cfRule>
  </conditionalFormatting>
  <conditionalFormatting sqref="C7">
    <cfRule type="cellIs" priority="349" operator="equal" dxfId="0">
      <formula>"W"</formula>
    </cfRule>
    <cfRule type="cellIs" priority="350" operator="equal" dxfId="1">
      <formula>"L"</formula>
    </cfRule>
    <cfRule type="cellIs" priority="351" operator="equal" dxfId="2">
      <formula>"D"</formula>
    </cfRule>
  </conditionalFormatting>
  <conditionalFormatting sqref="D7">
    <cfRule type="cellIs" priority="352" operator="equal" dxfId="0">
      <formula>"W"</formula>
    </cfRule>
    <cfRule type="cellIs" priority="353" operator="equal" dxfId="1">
      <formula>"L"</formula>
    </cfRule>
    <cfRule type="cellIs" priority="354" operator="equal" dxfId="2">
      <formula>"D"</formula>
    </cfRule>
  </conditionalFormatting>
  <conditionalFormatting sqref="E7">
    <cfRule type="cellIs" priority="355" operator="equal" dxfId="0">
      <formula>"W"</formula>
    </cfRule>
    <cfRule type="cellIs" priority="356" operator="equal" dxfId="1">
      <formula>"L"</formula>
    </cfRule>
    <cfRule type="cellIs" priority="357" operator="equal" dxfId="2">
      <formula>"D"</formula>
    </cfRule>
  </conditionalFormatting>
  <conditionalFormatting sqref="F7">
    <cfRule type="cellIs" priority="358" operator="equal" dxfId="0">
      <formula>"W"</formula>
    </cfRule>
    <cfRule type="cellIs" priority="359" operator="equal" dxfId="1">
      <formula>"L"</formula>
    </cfRule>
    <cfRule type="cellIs" priority="360" operator="equal" dxfId="2">
      <formula>"D"</formula>
    </cfRule>
  </conditionalFormatting>
  <conditionalFormatting sqref="H7">
    <cfRule type="cellIs" priority="361" operator="equal" dxfId="0">
      <formula>"W"</formula>
    </cfRule>
    <cfRule type="cellIs" priority="362" operator="equal" dxfId="1">
      <formula>"L"</formula>
    </cfRule>
    <cfRule type="cellIs" priority="363" operator="equal" dxfId="2">
      <formula>"D"</formula>
    </cfRule>
  </conditionalFormatting>
  <conditionalFormatting sqref="I7">
    <cfRule type="cellIs" priority="364" operator="equal" dxfId="0">
      <formula>"W"</formula>
    </cfRule>
    <cfRule type="cellIs" priority="365" operator="equal" dxfId="1">
      <formula>"L"</formula>
    </cfRule>
    <cfRule type="cellIs" priority="366" operator="equal" dxfId="2">
      <formula>"D"</formula>
    </cfRule>
  </conditionalFormatting>
  <conditionalFormatting sqref="J7">
    <cfRule type="cellIs" priority="367" operator="equal" dxfId="0">
      <formula>"W"</formula>
    </cfRule>
    <cfRule type="cellIs" priority="368" operator="equal" dxfId="1">
      <formula>"L"</formula>
    </cfRule>
    <cfRule type="cellIs" priority="369" operator="equal" dxfId="2">
      <formula>"D"</formula>
    </cfRule>
  </conditionalFormatting>
  <conditionalFormatting sqref="K7">
    <cfRule type="cellIs" priority="370" operator="equal" dxfId="0">
      <formula>"W"</formula>
    </cfRule>
    <cfRule type="cellIs" priority="371" operator="equal" dxfId="1">
      <formula>"L"</formula>
    </cfRule>
    <cfRule type="cellIs" priority="372" operator="equal" dxfId="2">
      <formula>"D"</formula>
    </cfRule>
  </conditionalFormatting>
  <conditionalFormatting sqref="L7">
    <cfRule type="cellIs" priority="373" operator="equal" dxfId="0">
      <formula>"W"</formula>
    </cfRule>
    <cfRule type="cellIs" priority="374" operator="equal" dxfId="1">
      <formula>"L"</formula>
    </cfRule>
    <cfRule type="cellIs" priority="375" operator="equal" dxfId="2">
      <formula>"D"</formula>
    </cfRule>
  </conditionalFormatting>
  <conditionalFormatting sqref="M7">
    <cfRule type="cellIs" priority="376" operator="equal" dxfId="0">
      <formula>"W"</formula>
    </cfRule>
    <cfRule type="cellIs" priority="377" operator="equal" dxfId="1">
      <formula>"L"</formula>
    </cfRule>
    <cfRule type="cellIs" priority="378" operator="equal" dxfId="2">
      <formula>"D"</formula>
    </cfRule>
  </conditionalFormatting>
  <conditionalFormatting sqref="N7">
    <cfRule type="cellIs" priority="379" operator="equal" dxfId="0">
      <formula>"W"</formula>
    </cfRule>
    <cfRule type="cellIs" priority="380" operator="equal" dxfId="1">
      <formula>"L"</formula>
    </cfRule>
    <cfRule type="cellIs" priority="381" operator="equal" dxfId="2">
      <formula>"D"</formula>
    </cfRule>
  </conditionalFormatting>
  <conditionalFormatting sqref="O7">
    <cfRule type="cellIs" priority="382" operator="equal" dxfId="0">
      <formula>"W"</formula>
    </cfRule>
    <cfRule type="cellIs" priority="383" operator="equal" dxfId="1">
      <formula>"L"</formula>
    </cfRule>
    <cfRule type="cellIs" priority="384" operator="equal" dxfId="2">
      <formula>"D"</formula>
    </cfRule>
  </conditionalFormatting>
  <conditionalFormatting sqref="P7">
    <cfRule type="cellIs" priority="385" operator="equal" dxfId="0">
      <formula>"W"</formula>
    </cfRule>
    <cfRule type="cellIs" priority="386" operator="equal" dxfId="1">
      <formula>"L"</formula>
    </cfRule>
    <cfRule type="cellIs" priority="387" operator="equal" dxfId="2">
      <formula>"D"</formula>
    </cfRule>
  </conditionalFormatting>
  <conditionalFormatting sqref="Q7">
    <cfRule type="cellIs" priority="388" operator="equal" dxfId="0">
      <formula>"W"</formula>
    </cfRule>
    <cfRule type="cellIs" priority="389" operator="equal" dxfId="1">
      <formula>"L"</formula>
    </cfRule>
    <cfRule type="cellIs" priority="390" operator="equal" dxfId="2">
      <formula>"D"</formula>
    </cfRule>
  </conditionalFormatting>
  <conditionalFormatting sqref="R7">
    <cfRule type="cellIs" priority="391" operator="equal" dxfId="0">
      <formula>"W"</formula>
    </cfRule>
    <cfRule type="cellIs" priority="392" operator="equal" dxfId="1">
      <formula>"L"</formula>
    </cfRule>
    <cfRule type="cellIs" priority="393" operator="equal" dxfId="2">
      <formula>"D"</formula>
    </cfRule>
  </conditionalFormatting>
  <conditionalFormatting sqref="S7">
    <cfRule type="cellIs" priority="394" operator="equal" dxfId="0">
      <formula>"W"</formula>
    </cfRule>
    <cfRule type="cellIs" priority="395" operator="equal" dxfId="1">
      <formula>"L"</formula>
    </cfRule>
    <cfRule type="cellIs" priority="396" operator="equal" dxfId="2">
      <formula>"D"</formula>
    </cfRule>
  </conditionalFormatting>
  <conditionalFormatting sqref="T7">
    <cfRule type="cellIs" priority="397" operator="equal" dxfId="0">
      <formula>"W"</formula>
    </cfRule>
    <cfRule type="cellIs" priority="398" operator="equal" dxfId="1">
      <formula>"L"</formula>
    </cfRule>
    <cfRule type="cellIs" priority="399" operator="equal" dxfId="2">
      <formula>"D"</formula>
    </cfRule>
  </conditionalFormatting>
  <conditionalFormatting sqref="U7">
    <cfRule type="cellIs" priority="400" operator="equal" dxfId="0">
      <formula>"W"</formula>
    </cfRule>
    <cfRule type="cellIs" priority="401" operator="equal" dxfId="1">
      <formula>"L"</formula>
    </cfRule>
    <cfRule type="cellIs" priority="402" operator="equal" dxfId="2">
      <formula>"D"</formula>
    </cfRule>
  </conditionalFormatting>
  <conditionalFormatting sqref="V7">
    <cfRule type="cellIs" priority="403" operator="equal" dxfId="0">
      <formula>"W"</formula>
    </cfRule>
    <cfRule type="cellIs" priority="404" operator="equal" dxfId="1">
      <formula>"L"</formula>
    </cfRule>
    <cfRule type="cellIs" priority="405" operator="equal" dxfId="2">
      <formula>"D"</formula>
    </cfRule>
  </conditionalFormatting>
  <conditionalFormatting sqref="W7">
    <cfRule type="cellIs" priority="406" operator="equal" dxfId="0">
      <formula>"W"</formula>
    </cfRule>
    <cfRule type="cellIs" priority="407" operator="equal" dxfId="1">
      <formula>"L"</formula>
    </cfRule>
    <cfRule type="cellIs" priority="408" operator="equal" dxfId="2">
      <formula>"D"</formula>
    </cfRule>
  </conditionalFormatting>
  <conditionalFormatting sqref="X7">
    <cfRule type="cellIs" priority="409" operator="equal" dxfId="0">
      <formula>"W"</formula>
    </cfRule>
    <cfRule type="cellIs" priority="410" operator="equal" dxfId="1">
      <formula>"L"</formula>
    </cfRule>
    <cfRule type="cellIs" priority="411" operator="equal" dxfId="2">
      <formula>"D"</formula>
    </cfRule>
  </conditionalFormatting>
  <conditionalFormatting sqref="Y7">
    <cfRule type="cellIs" priority="412" operator="equal" dxfId="0">
      <formula>"W"</formula>
    </cfRule>
    <cfRule type="cellIs" priority="413" operator="equal" dxfId="1">
      <formula>"L"</formula>
    </cfRule>
    <cfRule type="cellIs" priority="414" operator="equal" dxfId="2">
      <formula>"D"</formula>
    </cfRule>
  </conditionalFormatting>
  <conditionalFormatting sqref="Z7">
    <cfRule type="cellIs" priority="415" operator="equal" dxfId="0">
      <formula>"W"</formula>
    </cfRule>
    <cfRule type="cellIs" priority="416" operator="equal" dxfId="1">
      <formula>"L"</formula>
    </cfRule>
    <cfRule type="cellIs" priority="417" operator="equal" dxfId="2">
      <formula>"D"</formula>
    </cfRule>
  </conditionalFormatting>
  <conditionalFormatting sqref="AA7">
    <cfRule type="cellIs" priority="418" operator="equal" dxfId="0">
      <formula>"W"</formula>
    </cfRule>
    <cfRule type="cellIs" priority="419" operator="equal" dxfId="1">
      <formula>"L"</formula>
    </cfRule>
    <cfRule type="cellIs" priority="420" operator="equal" dxfId="2">
      <formula>"D"</formula>
    </cfRule>
  </conditionalFormatting>
  <conditionalFormatting sqref="AB7">
    <cfRule type="cellIs" priority="421" operator="equal" dxfId="0">
      <formula>"W"</formula>
    </cfRule>
    <cfRule type="cellIs" priority="422" operator="equal" dxfId="1">
      <formula>"L"</formula>
    </cfRule>
    <cfRule type="cellIs" priority="423" operator="equal" dxfId="2">
      <formula>"D"</formula>
    </cfRule>
  </conditionalFormatting>
  <conditionalFormatting sqref="AC7">
    <cfRule type="cellIs" priority="424" operator="equal" dxfId="0">
      <formula>"W"</formula>
    </cfRule>
    <cfRule type="cellIs" priority="425" operator="equal" dxfId="1">
      <formula>"L"</formula>
    </cfRule>
    <cfRule type="cellIs" priority="426" operator="equal" dxfId="2">
      <formula>"D"</formula>
    </cfRule>
  </conditionalFormatting>
  <conditionalFormatting sqref="AD7">
    <cfRule type="cellIs" priority="427" operator="equal" dxfId="0">
      <formula>"W"</formula>
    </cfRule>
    <cfRule type="cellIs" priority="428" operator="equal" dxfId="1">
      <formula>"L"</formula>
    </cfRule>
    <cfRule type="cellIs" priority="429" operator="equal" dxfId="2">
      <formula>"D"</formula>
    </cfRule>
  </conditionalFormatting>
  <conditionalFormatting sqref="AE7">
    <cfRule type="cellIs" priority="430" operator="equal" dxfId="0">
      <formula>"W"</formula>
    </cfRule>
    <cfRule type="cellIs" priority="431" operator="equal" dxfId="1">
      <formula>"L"</formula>
    </cfRule>
    <cfRule type="cellIs" priority="432" operator="equal" dxfId="2">
      <formula>"D"</formula>
    </cfRule>
  </conditionalFormatting>
  <conditionalFormatting sqref="AF7">
    <cfRule type="cellIs" priority="433" operator="equal" dxfId="0">
      <formula>"W"</formula>
    </cfRule>
    <cfRule type="cellIs" priority="434" operator="equal" dxfId="1">
      <formula>"L"</formula>
    </cfRule>
    <cfRule type="cellIs" priority="435" operator="equal" dxfId="2">
      <formula>"D"</formula>
    </cfRule>
  </conditionalFormatting>
  <conditionalFormatting sqref="C8">
    <cfRule type="cellIs" priority="436" operator="equal" dxfId="0">
      <formula>"W"</formula>
    </cfRule>
    <cfRule type="cellIs" priority="437" operator="equal" dxfId="1">
      <formula>"L"</formula>
    </cfRule>
    <cfRule type="cellIs" priority="438" operator="equal" dxfId="2">
      <formula>"D"</formula>
    </cfRule>
  </conditionalFormatting>
  <conditionalFormatting sqref="D8">
    <cfRule type="cellIs" priority="439" operator="equal" dxfId="0">
      <formula>"W"</formula>
    </cfRule>
    <cfRule type="cellIs" priority="440" operator="equal" dxfId="1">
      <formula>"L"</formula>
    </cfRule>
    <cfRule type="cellIs" priority="441" operator="equal" dxfId="2">
      <formula>"D"</formula>
    </cfRule>
  </conditionalFormatting>
  <conditionalFormatting sqref="E8">
    <cfRule type="cellIs" priority="442" operator="equal" dxfId="0">
      <formula>"W"</formula>
    </cfRule>
    <cfRule type="cellIs" priority="443" operator="equal" dxfId="1">
      <formula>"L"</formula>
    </cfRule>
    <cfRule type="cellIs" priority="444" operator="equal" dxfId="2">
      <formula>"D"</formula>
    </cfRule>
  </conditionalFormatting>
  <conditionalFormatting sqref="F8">
    <cfRule type="cellIs" priority="445" operator="equal" dxfId="0">
      <formula>"W"</formula>
    </cfRule>
    <cfRule type="cellIs" priority="446" operator="equal" dxfId="1">
      <formula>"L"</formula>
    </cfRule>
    <cfRule type="cellIs" priority="447" operator="equal" dxfId="2">
      <formula>"D"</formula>
    </cfRule>
  </conditionalFormatting>
  <conditionalFormatting sqref="G8">
    <cfRule type="cellIs" priority="448" operator="equal" dxfId="0">
      <formula>"W"</formula>
    </cfRule>
    <cfRule type="cellIs" priority="449" operator="equal" dxfId="1">
      <formula>"L"</formula>
    </cfRule>
    <cfRule type="cellIs" priority="450" operator="equal" dxfId="2">
      <formula>"D"</formula>
    </cfRule>
  </conditionalFormatting>
  <conditionalFormatting sqref="I8">
    <cfRule type="cellIs" priority="451" operator="equal" dxfId="0">
      <formula>"W"</formula>
    </cfRule>
    <cfRule type="cellIs" priority="452" operator="equal" dxfId="1">
      <formula>"L"</formula>
    </cfRule>
    <cfRule type="cellIs" priority="453" operator="equal" dxfId="2">
      <formula>"D"</formula>
    </cfRule>
  </conditionalFormatting>
  <conditionalFormatting sqref="J8">
    <cfRule type="cellIs" priority="454" operator="equal" dxfId="0">
      <formula>"W"</formula>
    </cfRule>
    <cfRule type="cellIs" priority="455" operator="equal" dxfId="1">
      <formula>"L"</formula>
    </cfRule>
    <cfRule type="cellIs" priority="456" operator="equal" dxfId="2">
      <formula>"D"</formula>
    </cfRule>
  </conditionalFormatting>
  <conditionalFormatting sqref="K8">
    <cfRule type="cellIs" priority="457" operator="equal" dxfId="0">
      <formula>"W"</formula>
    </cfRule>
    <cfRule type="cellIs" priority="458" operator="equal" dxfId="1">
      <formula>"L"</formula>
    </cfRule>
    <cfRule type="cellIs" priority="459" operator="equal" dxfId="2">
      <formula>"D"</formula>
    </cfRule>
  </conditionalFormatting>
  <conditionalFormatting sqref="L8">
    <cfRule type="cellIs" priority="460" operator="equal" dxfId="0">
      <formula>"W"</formula>
    </cfRule>
    <cfRule type="cellIs" priority="461" operator="equal" dxfId="1">
      <formula>"L"</formula>
    </cfRule>
    <cfRule type="cellIs" priority="462" operator="equal" dxfId="2">
      <formula>"D"</formula>
    </cfRule>
  </conditionalFormatting>
  <conditionalFormatting sqref="M8">
    <cfRule type="cellIs" priority="463" operator="equal" dxfId="0">
      <formula>"W"</formula>
    </cfRule>
    <cfRule type="cellIs" priority="464" operator="equal" dxfId="1">
      <formula>"L"</formula>
    </cfRule>
    <cfRule type="cellIs" priority="465" operator="equal" dxfId="2">
      <formula>"D"</formula>
    </cfRule>
  </conditionalFormatting>
  <conditionalFormatting sqref="N8">
    <cfRule type="cellIs" priority="466" operator="equal" dxfId="0">
      <formula>"W"</formula>
    </cfRule>
    <cfRule type="cellIs" priority="467" operator="equal" dxfId="1">
      <formula>"L"</formula>
    </cfRule>
    <cfRule type="cellIs" priority="468" operator="equal" dxfId="2">
      <formula>"D"</formula>
    </cfRule>
  </conditionalFormatting>
  <conditionalFormatting sqref="O8">
    <cfRule type="cellIs" priority="469" operator="equal" dxfId="0">
      <formula>"W"</formula>
    </cfRule>
    <cfRule type="cellIs" priority="470" operator="equal" dxfId="1">
      <formula>"L"</formula>
    </cfRule>
    <cfRule type="cellIs" priority="471" operator="equal" dxfId="2">
      <formula>"D"</formula>
    </cfRule>
  </conditionalFormatting>
  <conditionalFormatting sqref="P8">
    <cfRule type="cellIs" priority="472" operator="equal" dxfId="0">
      <formula>"W"</formula>
    </cfRule>
    <cfRule type="cellIs" priority="473" operator="equal" dxfId="1">
      <formula>"L"</formula>
    </cfRule>
    <cfRule type="cellIs" priority="474" operator="equal" dxfId="2">
      <formula>"D"</formula>
    </cfRule>
  </conditionalFormatting>
  <conditionalFormatting sqref="Q8">
    <cfRule type="cellIs" priority="475" operator="equal" dxfId="0">
      <formula>"W"</formula>
    </cfRule>
    <cfRule type="cellIs" priority="476" operator="equal" dxfId="1">
      <formula>"L"</formula>
    </cfRule>
    <cfRule type="cellIs" priority="477" operator="equal" dxfId="2">
      <formula>"D"</formula>
    </cfRule>
  </conditionalFormatting>
  <conditionalFormatting sqref="R8">
    <cfRule type="cellIs" priority="478" operator="equal" dxfId="0">
      <formula>"W"</formula>
    </cfRule>
    <cfRule type="cellIs" priority="479" operator="equal" dxfId="1">
      <formula>"L"</formula>
    </cfRule>
    <cfRule type="cellIs" priority="480" operator="equal" dxfId="2">
      <formula>"D"</formula>
    </cfRule>
  </conditionalFormatting>
  <conditionalFormatting sqref="S8">
    <cfRule type="cellIs" priority="481" operator="equal" dxfId="0">
      <formula>"W"</formula>
    </cfRule>
    <cfRule type="cellIs" priority="482" operator="equal" dxfId="1">
      <formula>"L"</formula>
    </cfRule>
    <cfRule type="cellIs" priority="483" operator="equal" dxfId="2">
      <formula>"D"</formula>
    </cfRule>
  </conditionalFormatting>
  <conditionalFormatting sqref="T8">
    <cfRule type="cellIs" priority="484" operator="equal" dxfId="0">
      <formula>"W"</formula>
    </cfRule>
    <cfRule type="cellIs" priority="485" operator="equal" dxfId="1">
      <formula>"L"</formula>
    </cfRule>
    <cfRule type="cellIs" priority="486" operator="equal" dxfId="2">
      <formula>"D"</formula>
    </cfRule>
  </conditionalFormatting>
  <conditionalFormatting sqref="U8">
    <cfRule type="cellIs" priority="487" operator="equal" dxfId="0">
      <formula>"W"</formula>
    </cfRule>
    <cfRule type="cellIs" priority="488" operator="equal" dxfId="1">
      <formula>"L"</formula>
    </cfRule>
    <cfRule type="cellIs" priority="489" operator="equal" dxfId="2">
      <formula>"D"</formula>
    </cfRule>
  </conditionalFormatting>
  <conditionalFormatting sqref="V8">
    <cfRule type="cellIs" priority="490" operator="equal" dxfId="0">
      <formula>"W"</formula>
    </cfRule>
    <cfRule type="cellIs" priority="491" operator="equal" dxfId="1">
      <formula>"L"</formula>
    </cfRule>
    <cfRule type="cellIs" priority="492" operator="equal" dxfId="2">
      <formula>"D"</formula>
    </cfRule>
  </conditionalFormatting>
  <conditionalFormatting sqref="W8">
    <cfRule type="cellIs" priority="493" operator="equal" dxfId="0">
      <formula>"W"</formula>
    </cfRule>
    <cfRule type="cellIs" priority="494" operator="equal" dxfId="1">
      <formula>"L"</formula>
    </cfRule>
    <cfRule type="cellIs" priority="495" operator="equal" dxfId="2">
      <formula>"D"</formula>
    </cfRule>
  </conditionalFormatting>
  <conditionalFormatting sqref="X8">
    <cfRule type="cellIs" priority="496" operator="equal" dxfId="0">
      <formula>"W"</formula>
    </cfRule>
    <cfRule type="cellIs" priority="497" operator="equal" dxfId="1">
      <formula>"L"</formula>
    </cfRule>
    <cfRule type="cellIs" priority="498" operator="equal" dxfId="2">
      <formula>"D"</formula>
    </cfRule>
  </conditionalFormatting>
  <conditionalFormatting sqref="Y8">
    <cfRule type="cellIs" priority="499" operator="equal" dxfId="0">
      <formula>"W"</formula>
    </cfRule>
    <cfRule type="cellIs" priority="500" operator="equal" dxfId="1">
      <formula>"L"</formula>
    </cfRule>
    <cfRule type="cellIs" priority="501" operator="equal" dxfId="2">
      <formula>"D"</formula>
    </cfRule>
  </conditionalFormatting>
  <conditionalFormatting sqref="Z8">
    <cfRule type="cellIs" priority="502" operator="equal" dxfId="0">
      <formula>"W"</formula>
    </cfRule>
    <cfRule type="cellIs" priority="503" operator="equal" dxfId="1">
      <formula>"L"</formula>
    </cfRule>
    <cfRule type="cellIs" priority="504" operator="equal" dxfId="2">
      <formula>"D"</formula>
    </cfRule>
  </conditionalFormatting>
  <conditionalFormatting sqref="AA8">
    <cfRule type="cellIs" priority="505" operator="equal" dxfId="0">
      <formula>"W"</formula>
    </cfRule>
    <cfRule type="cellIs" priority="506" operator="equal" dxfId="1">
      <formula>"L"</formula>
    </cfRule>
    <cfRule type="cellIs" priority="507" operator="equal" dxfId="2">
      <formula>"D"</formula>
    </cfRule>
  </conditionalFormatting>
  <conditionalFormatting sqref="AB8">
    <cfRule type="cellIs" priority="508" operator="equal" dxfId="0">
      <formula>"W"</formula>
    </cfRule>
    <cfRule type="cellIs" priority="509" operator="equal" dxfId="1">
      <formula>"L"</formula>
    </cfRule>
    <cfRule type="cellIs" priority="510" operator="equal" dxfId="2">
      <formula>"D"</formula>
    </cfRule>
  </conditionalFormatting>
  <conditionalFormatting sqref="AC8">
    <cfRule type="cellIs" priority="511" operator="equal" dxfId="0">
      <formula>"W"</formula>
    </cfRule>
    <cfRule type="cellIs" priority="512" operator="equal" dxfId="1">
      <formula>"L"</formula>
    </cfRule>
    <cfRule type="cellIs" priority="513" operator="equal" dxfId="2">
      <formula>"D"</formula>
    </cfRule>
  </conditionalFormatting>
  <conditionalFormatting sqref="AD8">
    <cfRule type="cellIs" priority="514" operator="equal" dxfId="0">
      <formula>"W"</formula>
    </cfRule>
    <cfRule type="cellIs" priority="515" operator="equal" dxfId="1">
      <formula>"L"</formula>
    </cfRule>
    <cfRule type="cellIs" priority="516" operator="equal" dxfId="2">
      <formula>"D"</formula>
    </cfRule>
  </conditionalFormatting>
  <conditionalFormatting sqref="AE8">
    <cfRule type="cellIs" priority="517" operator="equal" dxfId="0">
      <formula>"W"</formula>
    </cfRule>
    <cfRule type="cellIs" priority="518" operator="equal" dxfId="1">
      <formula>"L"</formula>
    </cfRule>
    <cfRule type="cellIs" priority="519" operator="equal" dxfId="2">
      <formula>"D"</formula>
    </cfRule>
  </conditionalFormatting>
  <conditionalFormatting sqref="AF8">
    <cfRule type="cellIs" priority="520" operator="equal" dxfId="0">
      <formula>"W"</formula>
    </cfRule>
    <cfRule type="cellIs" priority="521" operator="equal" dxfId="1">
      <formula>"L"</formula>
    </cfRule>
    <cfRule type="cellIs" priority="522" operator="equal" dxfId="2">
      <formula>"D"</formula>
    </cfRule>
  </conditionalFormatting>
  <conditionalFormatting sqref="C9">
    <cfRule type="cellIs" priority="523" operator="equal" dxfId="0">
      <formula>"W"</formula>
    </cfRule>
    <cfRule type="cellIs" priority="524" operator="equal" dxfId="1">
      <formula>"L"</formula>
    </cfRule>
    <cfRule type="cellIs" priority="525" operator="equal" dxfId="2">
      <formula>"D"</formula>
    </cfRule>
  </conditionalFormatting>
  <conditionalFormatting sqref="D9">
    <cfRule type="cellIs" priority="526" operator="equal" dxfId="0">
      <formula>"W"</formula>
    </cfRule>
    <cfRule type="cellIs" priority="527" operator="equal" dxfId="1">
      <formula>"L"</formula>
    </cfRule>
    <cfRule type="cellIs" priority="528" operator="equal" dxfId="2">
      <formula>"D"</formula>
    </cfRule>
  </conditionalFormatting>
  <conditionalFormatting sqref="E9">
    <cfRule type="cellIs" priority="529" operator="equal" dxfId="0">
      <formula>"W"</formula>
    </cfRule>
    <cfRule type="cellIs" priority="530" operator="equal" dxfId="1">
      <formula>"L"</formula>
    </cfRule>
    <cfRule type="cellIs" priority="531" operator="equal" dxfId="2">
      <formula>"D"</formula>
    </cfRule>
  </conditionalFormatting>
  <conditionalFormatting sqref="F9">
    <cfRule type="cellIs" priority="532" operator="equal" dxfId="0">
      <formula>"W"</formula>
    </cfRule>
    <cfRule type="cellIs" priority="533" operator="equal" dxfId="1">
      <formula>"L"</formula>
    </cfRule>
    <cfRule type="cellIs" priority="534" operator="equal" dxfId="2">
      <formula>"D"</formula>
    </cfRule>
  </conditionalFormatting>
  <conditionalFormatting sqref="G9">
    <cfRule type="cellIs" priority="535" operator="equal" dxfId="0">
      <formula>"W"</formula>
    </cfRule>
    <cfRule type="cellIs" priority="536" operator="equal" dxfId="1">
      <formula>"L"</formula>
    </cfRule>
    <cfRule type="cellIs" priority="537" operator="equal" dxfId="2">
      <formula>"D"</formula>
    </cfRule>
  </conditionalFormatting>
  <conditionalFormatting sqref="H9">
    <cfRule type="cellIs" priority="538" operator="equal" dxfId="0">
      <formula>"W"</formula>
    </cfRule>
    <cfRule type="cellIs" priority="539" operator="equal" dxfId="1">
      <formula>"L"</formula>
    </cfRule>
    <cfRule type="cellIs" priority="540" operator="equal" dxfId="2">
      <formula>"D"</formula>
    </cfRule>
  </conditionalFormatting>
  <conditionalFormatting sqref="J9">
    <cfRule type="cellIs" priority="541" operator="equal" dxfId="0">
      <formula>"W"</formula>
    </cfRule>
    <cfRule type="cellIs" priority="542" operator="equal" dxfId="1">
      <formula>"L"</formula>
    </cfRule>
    <cfRule type="cellIs" priority="543" operator="equal" dxfId="2">
      <formula>"D"</formula>
    </cfRule>
  </conditionalFormatting>
  <conditionalFormatting sqref="K9">
    <cfRule type="cellIs" priority="544" operator="equal" dxfId="0">
      <formula>"W"</formula>
    </cfRule>
    <cfRule type="cellIs" priority="545" operator="equal" dxfId="1">
      <formula>"L"</formula>
    </cfRule>
    <cfRule type="cellIs" priority="546" operator="equal" dxfId="2">
      <formula>"D"</formula>
    </cfRule>
  </conditionalFormatting>
  <conditionalFormatting sqref="L9">
    <cfRule type="cellIs" priority="547" operator="equal" dxfId="0">
      <formula>"W"</formula>
    </cfRule>
    <cfRule type="cellIs" priority="548" operator="equal" dxfId="1">
      <formula>"L"</formula>
    </cfRule>
    <cfRule type="cellIs" priority="549" operator="equal" dxfId="2">
      <formula>"D"</formula>
    </cfRule>
  </conditionalFormatting>
  <conditionalFormatting sqref="M9">
    <cfRule type="cellIs" priority="550" operator="equal" dxfId="0">
      <formula>"W"</formula>
    </cfRule>
    <cfRule type="cellIs" priority="551" operator="equal" dxfId="1">
      <formula>"L"</formula>
    </cfRule>
    <cfRule type="cellIs" priority="552" operator="equal" dxfId="2">
      <formula>"D"</formula>
    </cfRule>
  </conditionalFormatting>
  <conditionalFormatting sqref="N9">
    <cfRule type="cellIs" priority="553" operator="equal" dxfId="0">
      <formula>"W"</formula>
    </cfRule>
    <cfRule type="cellIs" priority="554" operator="equal" dxfId="1">
      <formula>"L"</formula>
    </cfRule>
    <cfRule type="cellIs" priority="555" operator="equal" dxfId="2">
      <formula>"D"</formula>
    </cfRule>
  </conditionalFormatting>
  <conditionalFormatting sqref="O9">
    <cfRule type="cellIs" priority="556" operator="equal" dxfId="0">
      <formula>"W"</formula>
    </cfRule>
    <cfRule type="cellIs" priority="557" operator="equal" dxfId="1">
      <formula>"L"</formula>
    </cfRule>
    <cfRule type="cellIs" priority="558" operator="equal" dxfId="2">
      <formula>"D"</formula>
    </cfRule>
  </conditionalFormatting>
  <conditionalFormatting sqref="P9">
    <cfRule type="cellIs" priority="559" operator="equal" dxfId="0">
      <formula>"W"</formula>
    </cfRule>
    <cfRule type="cellIs" priority="560" operator="equal" dxfId="1">
      <formula>"L"</formula>
    </cfRule>
    <cfRule type="cellIs" priority="561" operator="equal" dxfId="2">
      <formula>"D"</formula>
    </cfRule>
  </conditionalFormatting>
  <conditionalFormatting sqref="Q9">
    <cfRule type="cellIs" priority="562" operator="equal" dxfId="0">
      <formula>"W"</formula>
    </cfRule>
    <cfRule type="cellIs" priority="563" operator="equal" dxfId="1">
      <formula>"L"</formula>
    </cfRule>
    <cfRule type="cellIs" priority="564" operator="equal" dxfId="2">
      <formula>"D"</formula>
    </cfRule>
  </conditionalFormatting>
  <conditionalFormatting sqref="R9">
    <cfRule type="cellIs" priority="565" operator="equal" dxfId="0">
      <formula>"W"</formula>
    </cfRule>
    <cfRule type="cellIs" priority="566" operator="equal" dxfId="1">
      <formula>"L"</formula>
    </cfRule>
    <cfRule type="cellIs" priority="567" operator="equal" dxfId="2">
      <formula>"D"</formula>
    </cfRule>
  </conditionalFormatting>
  <conditionalFormatting sqref="S9">
    <cfRule type="cellIs" priority="568" operator="equal" dxfId="0">
      <formula>"W"</formula>
    </cfRule>
    <cfRule type="cellIs" priority="569" operator="equal" dxfId="1">
      <formula>"L"</formula>
    </cfRule>
    <cfRule type="cellIs" priority="570" operator="equal" dxfId="2">
      <formula>"D"</formula>
    </cfRule>
  </conditionalFormatting>
  <conditionalFormatting sqref="T9">
    <cfRule type="cellIs" priority="571" operator="equal" dxfId="0">
      <formula>"W"</formula>
    </cfRule>
    <cfRule type="cellIs" priority="572" operator="equal" dxfId="1">
      <formula>"L"</formula>
    </cfRule>
    <cfRule type="cellIs" priority="573" operator="equal" dxfId="2">
      <formula>"D"</formula>
    </cfRule>
  </conditionalFormatting>
  <conditionalFormatting sqref="U9">
    <cfRule type="cellIs" priority="574" operator="equal" dxfId="0">
      <formula>"W"</formula>
    </cfRule>
    <cfRule type="cellIs" priority="575" operator="equal" dxfId="1">
      <formula>"L"</formula>
    </cfRule>
    <cfRule type="cellIs" priority="576" operator="equal" dxfId="2">
      <formula>"D"</formula>
    </cfRule>
  </conditionalFormatting>
  <conditionalFormatting sqref="V9">
    <cfRule type="cellIs" priority="577" operator="equal" dxfId="0">
      <formula>"W"</formula>
    </cfRule>
    <cfRule type="cellIs" priority="578" operator="equal" dxfId="1">
      <formula>"L"</formula>
    </cfRule>
    <cfRule type="cellIs" priority="579" operator="equal" dxfId="2">
      <formula>"D"</formula>
    </cfRule>
  </conditionalFormatting>
  <conditionalFormatting sqref="W9">
    <cfRule type="cellIs" priority="580" operator="equal" dxfId="0">
      <formula>"W"</formula>
    </cfRule>
    <cfRule type="cellIs" priority="581" operator="equal" dxfId="1">
      <formula>"L"</formula>
    </cfRule>
    <cfRule type="cellIs" priority="582" operator="equal" dxfId="2">
      <formula>"D"</formula>
    </cfRule>
  </conditionalFormatting>
  <conditionalFormatting sqref="X9">
    <cfRule type="cellIs" priority="583" operator="equal" dxfId="0">
      <formula>"W"</formula>
    </cfRule>
    <cfRule type="cellIs" priority="584" operator="equal" dxfId="1">
      <formula>"L"</formula>
    </cfRule>
    <cfRule type="cellIs" priority="585" operator="equal" dxfId="2">
      <formula>"D"</formula>
    </cfRule>
  </conditionalFormatting>
  <conditionalFormatting sqref="Y9">
    <cfRule type="cellIs" priority="586" operator="equal" dxfId="0">
      <formula>"W"</formula>
    </cfRule>
    <cfRule type="cellIs" priority="587" operator="equal" dxfId="1">
      <formula>"L"</formula>
    </cfRule>
    <cfRule type="cellIs" priority="588" operator="equal" dxfId="2">
      <formula>"D"</formula>
    </cfRule>
  </conditionalFormatting>
  <conditionalFormatting sqref="Z9">
    <cfRule type="cellIs" priority="589" operator="equal" dxfId="0">
      <formula>"W"</formula>
    </cfRule>
    <cfRule type="cellIs" priority="590" operator="equal" dxfId="1">
      <formula>"L"</formula>
    </cfRule>
    <cfRule type="cellIs" priority="591" operator="equal" dxfId="2">
      <formula>"D"</formula>
    </cfRule>
  </conditionalFormatting>
  <conditionalFormatting sqref="AA9">
    <cfRule type="cellIs" priority="592" operator="equal" dxfId="0">
      <formula>"W"</formula>
    </cfRule>
    <cfRule type="cellIs" priority="593" operator="equal" dxfId="1">
      <formula>"L"</formula>
    </cfRule>
    <cfRule type="cellIs" priority="594" operator="equal" dxfId="2">
      <formula>"D"</formula>
    </cfRule>
  </conditionalFormatting>
  <conditionalFormatting sqref="AB9">
    <cfRule type="cellIs" priority="595" operator="equal" dxfId="0">
      <formula>"W"</formula>
    </cfRule>
    <cfRule type="cellIs" priority="596" operator="equal" dxfId="1">
      <formula>"L"</formula>
    </cfRule>
    <cfRule type="cellIs" priority="597" operator="equal" dxfId="2">
      <formula>"D"</formula>
    </cfRule>
  </conditionalFormatting>
  <conditionalFormatting sqref="AC9">
    <cfRule type="cellIs" priority="598" operator="equal" dxfId="0">
      <formula>"W"</formula>
    </cfRule>
    <cfRule type="cellIs" priority="599" operator="equal" dxfId="1">
      <formula>"L"</formula>
    </cfRule>
    <cfRule type="cellIs" priority="600" operator="equal" dxfId="2">
      <formula>"D"</formula>
    </cfRule>
  </conditionalFormatting>
  <conditionalFormatting sqref="AD9">
    <cfRule type="cellIs" priority="601" operator="equal" dxfId="0">
      <formula>"W"</formula>
    </cfRule>
    <cfRule type="cellIs" priority="602" operator="equal" dxfId="1">
      <formula>"L"</formula>
    </cfRule>
    <cfRule type="cellIs" priority="603" operator="equal" dxfId="2">
      <formula>"D"</formula>
    </cfRule>
  </conditionalFormatting>
  <conditionalFormatting sqref="AE9">
    <cfRule type="cellIs" priority="604" operator="equal" dxfId="0">
      <formula>"W"</formula>
    </cfRule>
    <cfRule type="cellIs" priority="605" operator="equal" dxfId="1">
      <formula>"L"</formula>
    </cfRule>
    <cfRule type="cellIs" priority="606" operator="equal" dxfId="2">
      <formula>"D"</formula>
    </cfRule>
  </conditionalFormatting>
  <conditionalFormatting sqref="AF9">
    <cfRule type="cellIs" priority="607" operator="equal" dxfId="0">
      <formula>"W"</formula>
    </cfRule>
    <cfRule type="cellIs" priority="608" operator="equal" dxfId="1">
      <formula>"L"</formula>
    </cfRule>
    <cfRule type="cellIs" priority="609" operator="equal" dxfId="2">
      <formula>"D"</formula>
    </cfRule>
  </conditionalFormatting>
  <conditionalFormatting sqref="C10">
    <cfRule type="cellIs" priority="610" operator="equal" dxfId="0">
      <formula>"W"</formula>
    </cfRule>
    <cfRule type="cellIs" priority="611" operator="equal" dxfId="1">
      <formula>"L"</formula>
    </cfRule>
    <cfRule type="cellIs" priority="612" operator="equal" dxfId="2">
      <formula>"D"</formula>
    </cfRule>
  </conditionalFormatting>
  <conditionalFormatting sqref="D10">
    <cfRule type="cellIs" priority="613" operator="equal" dxfId="0">
      <formula>"W"</formula>
    </cfRule>
    <cfRule type="cellIs" priority="614" operator="equal" dxfId="1">
      <formula>"L"</formula>
    </cfRule>
    <cfRule type="cellIs" priority="615" operator="equal" dxfId="2">
      <formula>"D"</formula>
    </cfRule>
  </conditionalFormatting>
  <conditionalFormatting sqref="E10">
    <cfRule type="cellIs" priority="616" operator="equal" dxfId="0">
      <formula>"W"</formula>
    </cfRule>
    <cfRule type="cellIs" priority="617" operator="equal" dxfId="1">
      <formula>"L"</formula>
    </cfRule>
    <cfRule type="cellIs" priority="618" operator="equal" dxfId="2">
      <formula>"D"</formula>
    </cfRule>
  </conditionalFormatting>
  <conditionalFormatting sqref="F10">
    <cfRule type="cellIs" priority="619" operator="equal" dxfId="0">
      <formula>"W"</formula>
    </cfRule>
    <cfRule type="cellIs" priority="620" operator="equal" dxfId="1">
      <formula>"L"</formula>
    </cfRule>
    <cfRule type="cellIs" priority="621" operator="equal" dxfId="2">
      <formula>"D"</formula>
    </cfRule>
  </conditionalFormatting>
  <conditionalFormatting sqref="G10">
    <cfRule type="cellIs" priority="622" operator="equal" dxfId="0">
      <formula>"W"</formula>
    </cfRule>
    <cfRule type="cellIs" priority="623" operator="equal" dxfId="1">
      <formula>"L"</formula>
    </cfRule>
    <cfRule type="cellIs" priority="624" operator="equal" dxfId="2">
      <formula>"D"</formula>
    </cfRule>
  </conditionalFormatting>
  <conditionalFormatting sqref="H10">
    <cfRule type="cellIs" priority="625" operator="equal" dxfId="0">
      <formula>"W"</formula>
    </cfRule>
    <cfRule type="cellIs" priority="626" operator="equal" dxfId="1">
      <formula>"L"</formula>
    </cfRule>
    <cfRule type="cellIs" priority="627" operator="equal" dxfId="2">
      <formula>"D"</formula>
    </cfRule>
  </conditionalFormatting>
  <conditionalFormatting sqref="I10">
    <cfRule type="cellIs" priority="628" operator="equal" dxfId="0">
      <formula>"W"</formula>
    </cfRule>
    <cfRule type="cellIs" priority="629" operator="equal" dxfId="1">
      <formula>"L"</formula>
    </cfRule>
    <cfRule type="cellIs" priority="630" operator="equal" dxfId="2">
      <formula>"D"</formula>
    </cfRule>
  </conditionalFormatting>
  <conditionalFormatting sqref="K10">
    <cfRule type="cellIs" priority="631" operator="equal" dxfId="0">
      <formula>"W"</formula>
    </cfRule>
    <cfRule type="cellIs" priority="632" operator="equal" dxfId="1">
      <formula>"L"</formula>
    </cfRule>
    <cfRule type="cellIs" priority="633" operator="equal" dxfId="2">
      <formula>"D"</formula>
    </cfRule>
  </conditionalFormatting>
  <conditionalFormatting sqref="L10">
    <cfRule type="cellIs" priority="634" operator="equal" dxfId="0">
      <formula>"W"</formula>
    </cfRule>
    <cfRule type="cellIs" priority="635" operator="equal" dxfId="1">
      <formula>"L"</formula>
    </cfRule>
    <cfRule type="cellIs" priority="636" operator="equal" dxfId="2">
      <formula>"D"</formula>
    </cfRule>
  </conditionalFormatting>
  <conditionalFormatting sqref="M10">
    <cfRule type="cellIs" priority="637" operator="equal" dxfId="0">
      <formula>"W"</formula>
    </cfRule>
    <cfRule type="cellIs" priority="638" operator="equal" dxfId="1">
      <formula>"L"</formula>
    </cfRule>
    <cfRule type="cellIs" priority="639" operator="equal" dxfId="2">
      <formula>"D"</formula>
    </cfRule>
  </conditionalFormatting>
  <conditionalFormatting sqref="N10">
    <cfRule type="cellIs" priority="640" operator="equal" dxfId="0">
      <formula>"W"</formula>
    </cfRule>
    <cfRule type="cellIs" priority="641" operator="equal" dxfId="1">
      <formula>"L"</formula>
    </cfRule>
    <cfRule type="cellIs" priority="642" operator="equal" dxfId="2">
      <formula>"D"</formula>
    </cfRule>
  </conditionalFormatting>
  <conditionalFormatting sqref="O10">
    <cfRule type="cellIs" priority="643" operator="equal" dxfId="0">
      <formula>"W"</formula>
    </cfRule>
    <cfRule type="cellIs" priority="644" operator="equal" dxfId="1">
      <formula>"L"</formula>
    </cfRule>
    <cfRule type="cellIs" priority="645" operator="equal" dxfId="2">
      <formula>"D"</formula>
    </cfRule>
  </conditionalFormatting>
  <conditionalFormatting sqref="P10">
    <cfRule type="cellIs" priority="646" operator="equal" dxfId="0">
      <formula>"W"</formula>
    </cfRule>
    <cfRule type="cellIs" priority="647" operator="equal" dxfId="1">
      <formula>"L"</formula>
    </cfRule>
    <cfRule type="cellIs" priority="648" operator="equal" dxfId="2">
      <formula>"D"</formula>
    </cfRule>
  </conditionalFormatting>
  <conditionalFormatting sqref="Q10">
    <cfRule type="cellIs" priority="649" operator="equal" dxfId="0">
      <formula>"W"</formula>
    </cfRule>
    <cfRule type="cellIs" priority="650" operator="equal" dxfId="1">
      <formula>"L"</formula>
    </cfRule>
    <cfRule type="cellIs" priority="651" operator="equal" dxfId="2">
      <formula>"D"</formula>
    </cfRule>
  </conditionalFormatting>
  <conditionalFormatting sqref="R10">
    <cfRule type="cellIs" priority="652" operator="equal" dxfId="0">
      <formula>"W"</formula>
    </cfRule>
    <cfRule type="cellIs" priority="653" operator="equal" dxfId="1">
      <formula>"L"</formula>
    </cfRule>
    <cfRule type="cellIs" priority="654" operator="equal" dxfId="2">
      <formula>"D"</formula>
    </cfRule>
  </conditionalFormatting>
  <conditionalFormatting sqref="S10">
    <cfRule type="cellIs" priority="655" operator="equal" dxfId="0">
      <formula>"W"</formula>
    </cfRule>
    <cfRule type="cellIs" priority="656" operator="equal" dxfId="1">
      <formula>"L"</formula>
    </cfRule>
    <cfRule type="cellIs" priority="657" operator="equal" dxfId="2">
      <formula>"D"</formula>
    </cfRule>
  </conditionalFormatting>
  <conditionalFormatting sqref="T10">
    <cfRule type="cellIs" priority="658" operator="equal" dxfId="0">
      <formula>"W"</formula>
    </cfRule>
    <cfRule type="cellIs" priority="659" operator="equal" dxfId="1">
      <formula>"L"</formula>
    </cfRule>
    <cfRule type="cellIs" priority="660" operator="equal" dxfId="2">
      <formula>"D"</formula>
    </cfRule>
  </conditionalFormatting>
  <conditionalFormatting sqref="U10">
    <cfRule type="cellIs" priority="661" operator="equal" dxfId="0">
      <formula>"W"</formula>
    </cfRule>
    <cfRule type="cellIs" priority="662" operator="equal" dxfId="1">
      <formula>"L"</formula>
    </cfRule>
    <cfRule type="cellIs" priority="663" operator="equal" dxfId="2">
      <formula>"D"</formula>
    </cfRule>
  </conditionalFormatting>
  <conditionalFormatting sqref="V10">
    <cfRule type="cellIs" priority="664" operator="equal" dxfId="0">
      <formula>"W"</formula>
    </cfRule>
    <cfRule type="cellIs" priority="665" operator="equal" dxfId="1">
      <formula>"L"</formula>
    </cfRule>
    <cfRule type="cellIs" priority="666" operator="equal" dxfId="2">
      <formula>"D"</formula>
    </cfRule>
  </conditionalFormatting>
  <conditionalFormatting sqref="W10">
    <cfRule type="cellIs" priority="667" operator="equal" dxfId="0">
      <formula>"W"</formula>
    </cfRule>
    <cfRule type="cellIs" priority="668" operator="equal" dxfId="1">
      <formula>"L"</formula>
    </cfRule>
    <cfRule type="cellIs" priority="669" operator="equal" dxfId="2">
      <formula>"D"</formula>
    </cfRule>
  </conditionalFormatting>
  <conditionalFormatting sqref="X10">
    <cfRule type="cellIs" priority="670" operator="equal" dxfId="0">
      <formula>"W"</formula>
    </cfRule>
    <cfRule type="cellIs" priority="671" operator="equal" dxfId="1">
      <formula>"L"</formula>
    </cfRule>
    <cfRule type="cellIs" priority="672" operator="equal" dxfId="2">
      <formula>"D"</formula>
    </cfRule>
  </conditionalFormatting>
  <conditionalFormatting sqref="Y10">
    <cfRule type="cellIs" priority="673" operator="equal" dxfId="0">
      <formula>"W"</formula>
    </cfRule>
    <cfRule type="cellIs" priority="674" operator="equal" dxfId="1">
      <formula>"L"</formula>
    </cfRule>
    <cfRule type="cellIs" priority="675" operator="equal" dxfId="2">
      <formula>"D"</formula>
    </cfRule>
  </conditionalFormatting>
  <conditionalFormatting sqref="Z10">
    <cfRule type="cellIs" priority="676" operator="equal" dxfId="0">
      <formula>"W"</formula>
    </cfRule>
    <cfRule type="cellIs" priority="677" operator="equal" dxfId="1">
      <formula>"L"</formula>
    </cfRule>
    <cfRule type="cellIs" priority="678" operator="equal" dxfId="2">
      <formula>"D"</formula>
    </cfRule>
  </conditionalFormatting>
  <conditionalFormatting sqref="AA10">
    <cfRule type="cellIs" priority="679" operator="equal" dxfId="0">
      <formula>"W"</formula>
    </cfRule>
    <cfRule type="cellIs" priority="680" operator="equal" dxfId="1">
      <formula>"L"</formula>
    </cfRule>
    <cfRule type="cellIs" priority="681" operator="equal" dxfId="2">
      <formula>"D"</formula>
    </cfRule>
  </conditionalFormatting>
  <conditionalFormatting sqref="AB10">
    <cfRule type="cellIs" priority="682" operator="equal" dxfId="0">
      <formula>"W"</formula>
    </cfRule>
    <cfRule type="cellIs" priority="683" operator="equal" dxfId="1">
      <formula>"L"</formula>
    </cfRule>
    <cfRule type="cellIs" priority="684" operator="equal" dxfId="2">
      <formula>"D"</formula>
    </cfRule>
  </conditionalFormatting>
  <conditionalFormatting sqref="AC10">
    <cfRule type="cellIs" priority="685" operator="equal" dxfId="0">
      <formula>"W"</formula>
    </cfRule>
    <cfRule type="cellIs" priority="686" operator="equal" dxfId="1">
      <formula>"L"</formula>
    </cfRule>
    <cfRule type="cellIs" priority="687" operator="equal" dxfId="2">
      <formula>"D"</formula>
    </cfRule>
  </conditionalFormatting>
  <conditionalFormatting sqref="AD10">
    <cfRule type="cellIs" priority="688" operator="equal" dxfId="0">
      <formula>"W"</formula>
    </cfRule>
    <cfRule type="cellIs" priority="689" operator="equal" dxfId="1">
      <formula>"L"</formula>
    </cfRule>
    <cfRule type="cellIs" priority="690" operator="equal" dxfId="2">
      <formula>"D"</formula>
    </cfRule>
  </conditionalFormatting>
  <conditionalFormatting sqref="AE10">
    <cfRule type="cellIs" priority="691" operator="equal" dxfId="0">
      <formula>"W"</formula>
    </cfRule>
    <cfRule type="cellIs" priority="692" operator="equal" dxfId="1">
      <formula>"L"</formula>
    </cfRule>
    <cfRule type="cellIs" priority="693" operator="equal" dxfId="2">
      <formula>"D"</formula>
    </cfRule>
  </conditionalFormatting>
  <conditionalFormatting sqref="AF10">
    <cfRule type="cellIs" priority="694" operator="equal" dxfId="0">
      <formula>"W"</formula>
    </cfRule>
    <cfRule type="cellIs" priority="695" operator="equal" dxfId="1">
      <formula>"L"</formula>
    </cfRule>
    <cfRule type="cellIs" priority="696" operator="equal" dxfId="2">
      <formula>"D"</formula>
    </cfRule>
  </conditionalFormatting>
  <conditionalFormatting sqref="C11">
    <cfRule type="cellIs" priority="697" operator="equal" dxfId="0">
      <formula>"W"</formula>
    </cfRule>
    <cfRule type="cellIs" priority="698" operator="equal" dxfId="1">
      <formula>"L"</formula>
    </cfRule>
    <cfRule type="cellIs" priority="699" operator="equal" dxfId="2">
      <formula>"D"</formula>
    </cfRule>
  </conditionalFormatting>
  <conditionalFormatting sqref="D11">
    <cfRule type="cellIs" priority="700" operator="equal" dxfId="0">
      <formula>"W"</formula>
    </cfRule>
    <cfRule type="cellIs" priority="701" operator="equal" dxfId="1">
      <formula>"L"</formula>
    </cfRule>
    <cfRule type="cellIs" priority="702" operator="equal" dxfId="2">
      <formula>"D"</formula>
    </cfRule>
  </conditionalFormatting>
  <conditionalFormatting sqref="E11">
    <cfRule type="cellIs" priority="703" operator="equal" dxfId="0">
      <formula>"W"</formula>
    </cfRule>
    <cfRule type="cellIs" priority="704" operator="equal" dxfId="1">
      <formula>"L"</formula>
    </cfRule>
    <cfRule type="cellIs" priority="705" operator="equal" dxfId="2">
      <formula>"D"</formula>
    </cfRule>
  </conditionalFormatting>
  <conditionalFormatting sqref="F11">
    <cfRule type="cellIs" priority="706" operator="equal" dxfId="0">
      <formula>"W"</formula>
    </cfRule>
    <cfRule type="cellIs" priority="707" operator="equal" dxfId="1">
      <formula>"L"</formula>
    </cfRule>
    <cfRule type="cellIs" priority="708" operator="equal" dxfId="2">
      <formula>"D"</formula>
    </cfRule>
  </conditionalFormatting>
  <conditionalFormatting sqref="G11">
    <cfRule type="cellIs" priority="709" operator="equal" dxfId="0">
      <formula>"W"</formula>
    </cfRule>
    <cfRule type="cellIs" priority="710" operator="equal" dxfId="1">
      <formula>"L"</formula>
    </cfRule>
    <cfRule type="cellIs" priority="711" operator="equal" dxfId="2">
      <formula>"D"</formula>
    </cfRule>
  </conditionalFormatting>
  <conditionalFormatting sqref="H11">
    <cfRule type="cellIs" priority="712" operator="equal" dxfId="0">
      <formula>"W"</formula>
    </cfRule>
    <cfRule type="cellIs" priority="713" operator="equal" dxfId="1">
      <formula>"L"</formula>
    </cfRule>
    <cfRule type="cellIs" priority="714" operator="equal" dxfId="2">
      <formula>"D"</formula>
    </cfRule>
  </conditionalFormatting>
  <conditionalFormatting sqref="I11">
    <cfRule type="cellIs" priority="715" operator="equal" dxfId="0">
      <formula>"W"</formula>
    </cfRule>
    <cfRule type="cellIs" priority="716" operator="equal" dxfId="1">
      <formula>"L"</formula>
    </cfRule>
    <cfRule type="cellIs" priority="717" operator="equal" dxfId="2">
      <formula>"D"</formula>
    </cfRule>
  </conditionalFormatting>
  <conditionalFormatting sqref="J11">
    <cfRule type="cellIs" priority="718" operator="equal" dxfId="0">
      <formula>"W"</formula>
    </cfRule>
    <cfRule type="cellIs" priority="719" operator="equal" dxfId="1">
      <formula>"L"</formula>
    </cfRule>
    <cfRule type="cellIs" priority="720" operator="equal" dxfId="2">
      <formula>"D"</formula>
    </cfRule>
  </conditionalFormatting>
  <conditionalFormatting sqref="L11">
    <cfRule type="cellIs" priority="721" operator="equal" dxfId="0">
      <formula>"W"</formula>
    </cfRule>
    <cfRule type="cellIs" priority="722" operator="equal" dxfId="1">
      <formula>"L"</formula>
    </cfRule>
    <cfRule type="cellIs" priority="723" operator="equal" dxfId="2">
      <formula>"D"</formula>
    </cfRule>
  </conditionalFormatting>
  <conditionalFormatting sqref="M11">
    <cfRule type="cellIs" priority="724" operator="equal" dxfId="0">
      <formula>"W"</formula>
    </cfRule>
    <cfRule type="cellIs" priority="725" operator="equal" dxfId="1">
      <formula>"L"</formula>
    </cfRule>
    <cfRule type="cellIs" priority="726" operator="equal" dxfId="2">
      <formula>"D"</formula>
    </cfRule>
  </conditionalFormatting>
  <conditionalFormatting sqref="N11">
    <cfRule type="cellIs" priority="727" operator="equal" dxfId="0">
      <formula>"W"</formula>
    </cfRule>
    <cfRule type="cellIs" priority="728" operator="equal" dxfId="1">
      <formula>"L"</formula>
    </cfRule>
    <cfRule type="cellIs" priority="729" operator="equal" dxfId="2">
      <formula>"D"</formula>
    </cfRule>
  </conditionalFormatting>
  <conditionalFormatting sqref="O11">
    <cfRule type="cellIs" priority="730" operator="equal" dxfId="0">
      <formula>"W"</formula>
    </cfRule>
    <cfRule type="cellIs" priority="731" operator="equal" dxfId="1">
      <formula>"L"</formula>
    </cfRule>
    <cfRule type="cellIs" priority="732" operator="equal" dxfId="2">
      <formula>"D"</formula>
    </cfRule>
  </conditionalFormatting>
  <conditionalFormatting sqref="P11">
    <cfRule type="cellIs" priority="733" operator="equal" dxfId="0">
      <formula>"W"</formula>
    </cfRule>
    <cfRule type="cellIs" priority="734" operator="equal" dxfId="1">
      <formula>"L"</formula>
    </cfRule>
    <cfRule type="cellIs" priority="735" operator="equal" dxfId="2">
      <formula>"D"</formula>
    </cfRule>
  </conditionalFormatting>
  <conditionalFormatting sqref="Q11">
    <cfRule type="cellIs" priority="736" operator="equal" dxfId="0">
      <formula>"W"</formula>
    </cfRule>
    <cfRule type="cellIs" priority="737" operator="equal" dxfId="1">
      <formula>"L"</formula>
    </cfRule>
    <cfRule type="cellIs" priority="738" operator="equal" dxfId="2">
      <formula>"D"</formula>
    </cfRule>
  </conditionalFormatting>
  <conditionalFormatting sqref="R11">
    <cfRule type="cellIs" priority="739" operator="equal" dxfId="0">
      <formula>"W"</formula>
    </cfRule>
    <cfRule type="cellIs" priority="740" operator="equal" dxfId="1">
      <formula>"L"</formula>
    </cfRule>
    <cfRule type="cellIs" priority="741" operator="equal" dxfId="2">
      <formula>"D"</formula>
    </cfRule>
  </conditionalFormatting>
  <conditionalFormatting sqref="S11">
    <cfRule type="cellIs" priority="742" operator="equal" dxfId="0">
      <formula>"W"</formula>
    </cfRule>
    <cfRule type="cellIs" priority="743" operator="equal" dxfId="1">
      <formula>"L"</formula>
    </cfRule>
    <cfRule type="cellIs" priority="744" operator="equal" dxfId="2">
      <formula>"D"</formula>
    </cfRule>
  </conditionalFormatting>
  <conditionalFormatting sqref="T11">
    <cfRule type="cellIs" priority="745" operator="equal" dxfId="0">
      <formula>"W"</formula>
    </cfRule>
    <cfRule type="cellIs" priority="746" operator="equal" dxfId="1">
      <formula>"L"</formula>
    </cfRule>
    <cfRule type="cellIs" priority="747" operator="equal" dxfId="2">
      <formula>"D"</formula>
    </cfRule>
  </conditionalFormatting>
  <conditionalFormatting sqref="U11">
    <cfRule type="cellIs" priority="748" operator="equal" dxfId="0">
      <formula>"W"</formula>
    </cfRule>
    <cfRule type="cellIs" priority="749" operator="equal" dxfId="1">
      <formula>"L"</formula>
    </cfRule>
    <cfRule type="cellIs" priority="750" operator="equal" dxfId="2">
      <formula>"D"</formula>
    </cfRule>
  </conditionalFormatting>
  <conditionalFormatting sqref="V11">
    <cfRule type="cellIs" priority="751" operator="equal" dxfId="0">
      <formula>"W"</formula>
    </cfRule>
    <cfRule type="cellIs" priority="752" operator="equal" dxfId="1">
      <formula>"L"</formula>
    </cfRule>
    <cfRule type="cellIs" priority="753" operator="equal" dxfId="2">
      <formula>"D"</formula>
    </cfRule>
  </conditionalFormatting>
  <conditionalFormatting sqref="W11">
    <cfRule type="cellIs" priority="754" operator="equal" dxfId="0">
      <formula>"W"</formula>
    </cfRule>
    <cfRule type="cellIs" priority="755" operator="equal" dxfId="1">
      <formula>"L"</formula>
    </cfRule>
    <cfRule type="cellIs" priority="756" operator="equal" dxfId="2">
      <formula>"D"</formula>
    </cfRule>
  </conditionalFormatting>
  <conditionalFormatting sqref="X11">
    <cfRule type="cellIs" priority="757" operator="equal" dxfId="0">
      <formula>"W"</formula>
    </cfRule>
    <cfRule type="cellIs" priority="758" operator="equal" dxfId="1">
      <formula>"L"</formula>
    </cfRule>
    <cfRule type="cellIs" priority="759" operator="equal" dxfId="2">
      <formula>"D"</formula>
    </cfRule>
  </conditionalFormatting>
  <conditionalFormatting sqref="Y11">
    <cfRule type="cellIs" priority="760" operator="equal" dxfId="0">
      <formula>"W"</formula>
    </cfRule>
    <cfRule type="cellIs" priority="761" operator="equal" dxfId="1">
      <formula>"L"</formula>
    </cfRule>
    <cfRule type="cellIs" priority="762" operator="equal" dxfId="2">
      <formula>"D"</formula>
    </cfRule>
  </conditionalFormatting>
  <conditionalFormatting sqref="Z11">
    <cfRule type="cellIs" priority="763" operator="equal" dxfId="0">
      <formula>"W"</formula>
    </cfRule>
    <cfRule type="cellIs" priority="764" operator="equal" dxfId="1">
      <formula>"L"</formula>
    </cfRule>
    <cfRule type="cellIs" priority="765" operator="equal" dxfId="2">
      <formula>"D"</formula>
    </cfRule>
  </conditionalFormatting>
  <conditionalFormatting sqref="AA11">
    <cfRule type="cellIs" priority="766" operator="equal" dxfId="0">
      <formula>"W"</formula>
    </cfRule>
    <cfRule type="cellIs" priority="767" operator="equal" dxfId="1">
      <formula>"L"</formula>
    </cfRule>
    <cfRule type="cellIs" priority="768" operator="equal" dxfId="2">
      <formula>"D"</formula>
    </cfRule>
  </conditionalFormatting>
  <conditionalFormatting sqref="AB11">
    <cfRule type="cellIs" priority="769" operator="equal" dxfId="0">
      <formula>"W"</formula>
    </cfRule>
    <cfRule type="cellIs" priority="770" operator="equal" dxfId="1">
      <formula>"L"</formula>
    </cfRule>
    <cfRule type="cellIs" priority="771" operator="equal" dxfId="2">
      <formula>"D"</formula>
    </cfRule>
  </conditionalFormatting>
  <conditionalFormatting sqref="AC11">
    <cfRule type="cellIs" priority="772" operator="equal" dxfId="0">
      <formula>"W"</formula>
    </cfRule>
    <cfRule type="cellIs" priority="773" operator="equal" dxfId="1">
      <formula>"L"</formula>
    </cfRule>
    <cfRule type="cellIs" priority="774" operator="equal" dxfId="2">
      <formula>"D"</formula>
    </cfRule>
  </conditionalFormatting>
  <conditionalFormatting sqref="AD11">
    <cfRule type="cellIs" priority="775" operator="equal" dxfId="0">
      <formula>"W"</formula>
    </cfRule>
    <cfRule type="cellIs" priority="776" operator="equal" dxfId="1">
      <formula>"L"</formula>
    </cfRule>
    <cfRule type="cellIs" priority="777" operator="equal" dxfId="2">
      <formula>"D"</formula>
    </cfRule>
  </conditionalFormatting>
  <conditionalFormatting sqref="AE11">
    <cfRule type="cellIs" priority="778" operator="equal" dxfId="0">
      <formula>"W"</formula>
    </cfRule>
    <cfRule type="cellIs" priority="779" operator="equal" dxfId="1">
      <formula>"L"</formula>
    </cfRule>
    <cfRule type="cellIs" priority="780" operator="equal" dxfId="2">
      <formula>"D"</formula>
    </cfRule>
  </conditionalFormatting>
  <conditionalFormatting sqref="AF11">
    <cfRule type="cellIs" priority="781" operator="equal" dxfId="0">
      <formula>"W"</formula>
    </cfRule>
    <cfRule type="cellIs" priority="782" operator="equal" dxfId="1">
      <formula>"L"</formula>
    </cfRule>
    <cfRule type="cellIs" priority="783" operator="equal" dxfId="2">
      <formula>"D"</formula>
    </cfRule>
  </conditionalFormatting>
  <conditionalFormatting sqref="C12">
    <cfRule type="cellIs" priority="784" operator="equal" dxfId="0">
      <formula>"W"</formula>
    </cfRule>
    <cfRule type="cellIs" priority="785" operator="equal" dxfId="1">
      <formula>"L"</formula>
    </cfRule>
    <cfRule type="cellIs" priority="786" operator="equal" dxfId="2">
      <formula>"D"</formula>
    </cfRule>
  </conditionalFormatting>
  <conditionalFormatting sqref="D12">
    <cfRule type="cellIs" priority="787" operator="equal" dxfId="0">
      <formula>"W"</formula>
    </cfRule>
    <cfRule type="cellIs" priority="788" operator="equal" dxfId="1">
      <formula>"L"</formula>
    </cfRule>
    <cfRule type="cellIs" priority="789" operator="equal" dxfId="2">
      <formula>"D"</formula>
    </cfRule>
  </conditionalFormatting>
  <conditionalFormatting sqref="E12">
    <cfRule type="cellIs" priority="790" operator="equal" dxfId="0">
      <formula>"W"</formula>
    </cfRule>
    <cfRule type="cellIs" priority="791" operator="equal" dxfId="1">
      <formula>"L"</formula>
    </cfRule>
    <cfRule type="cellIs" priority="792" operator="equal" dxfId="2">
      <formula>"D"</formula>
    </cfRule>
  </conditionalFormatting>
  <conditionalFormatting sqref="F12">
    <cfRule type="cellIs" priority="793" operator="equal" dxfId="0">
      <formula>"W"</formula>
    </cfRule>
    <cfRule type="cellIs" priority="794" operator="equal" dxfId="1">
      <formula>"L"</formula>
    </cfRule>
    <cfRule type="cellIs" priority="795" operator="equal" dxfId="2">
      <formula>"D"</formula>
    </cfRule>
  </conditionalFormatting>
  <conditionalFormatting sqref="G12">
    <cfRule type="cellIs" priority="796" operator="equal" dxfId="0">
      <formula>"W"</formula>
    </cfRule>
    <cfRule type="cellIs" priority="797" operator="equal" dxfId="1">
      <formula>"L"</formula>
    </cfRule>
    <cfRule type="cellIs" priority="798" operator="equal" dxfId="2">
      <formula>"D"</formula>
    </cfRule>
  </conditionalFormatting>
  <conditionalFormatting sqref="H12">
    <cfRule type="cellIs" priority="799" operator="equal" dxfId="0">
      <formula>"W"</formula>
    </cfRule>
    <cfRule type="cellIs" priority="800" operator="equal" dxfId="1">
      <formula>"L"</formula>
    </cfRule>
    <cfRule type="cellIs" priority="801" operator="equal" dxfId="2">
      <formula>"D"</formula>
    </cfRule>
  </conditionalFormatting>
  <conditionalFormatting sqref="I12">
    <cfRule type="cellIs" priority="802" operator="equal" dxfId="0">
      <formula>"W"</formula>
    </cfRule>
    <cfRule type="cellIs" priority="803" operator="equal" dxfId="1">
      <formula>"L"</formula>
    </cfRule>
    <cfRule type="cellIs" priority="804" operator="equal" dxfId="2">
      <formula>"D"</formula>
    </cfRule>
  </conditionalFormatting>
  <conditionalFormatting sqref="J12">
    <cfRule type="cellIs" priority="805" operator="equal" dxfId="0">
      <formula>"W"</formula>
    </cfRule>
    <cfRule type="cellIs" priority="806" operator="equal" dxfId="1">
      <formula>"L"</formula>
    </cfRule>
    <cfRule type="cellIs" priority="807" operator="equal" dxfId="2">
      <formula>"D"</formula>
    </cfRule>
  </conditionalFormatting>
  <conditionalFormatting sqref="K12">
    <cfRule type="cellIs" priority="808" operator="equal" dxfId="0">
      <formula>"W"</formula>
    </cfRule>
    <cfRule type="cellIs" priority="809" operator="equal" dxfId="1">
      <formula>"L"</formula>
    </cfRule>
    <cfRule type="cellIs" priority="810" operator="equal" dxfId="2">
      <formula>"D"</formula>
    </cfRule>
  </conditionalFormatting>
  <conditionalFormatting sqref="M12">
    <cfRule type="cellIs" priority="811" operator="equal" dxfId="0">
      <formula>"W"</formula>
    </cfRule>
    <cfRule type="cellIs" priority="812" operator="equal" dxfId="1">
      <formula>"L"</formula>
    </cfRule>
    <cfRule type="cellIs" priority="813" operator="equal" dxfId="2">
      <formula>"D"</formula>
    </cfRule>
  </conditionalFormatting>
  <conditionalFormatting sqref="N12">
    <cfRule type="cellIs" priority="814" operator="equal" dxfId="0">
      <formula>"W"</formula>
    </cfRule>
    <cfRule type="cellIs" priority="815" operator="equal" dxfId="1">
      <formula>"L"</formula>
    </cfRule>
    <cfRule type="cellIs" priority="816" operator="equal" dxfId="2">
      <formula>"D"</formula>
    </cfRule>
  </conditionalFormatting>
  <conditionalFormatting sqref="O12">
    <cfRule type="cellIs" priority="817" operator="equal" dxfId="0">
      <formula>"W"</formula>
    </cfRule>
    <cfRule type="cellIs" priority="818" operator="equal" dxfId="1">
      <formula>"L"</formula>
    </cfRule>
    <cfRule type="cellIs" priority="819" operator="equal" dxfId="2">
      <formula>"D"</formula>
    </cfRule>
  </conditionalFormatting>
  <conditionalFormatting sqref="P12">
    <cfRule type="cellIs" priority="820" operator="equal" dxfId="0">
      <formula>"W"</formula>
    </cfRule>
    <cfRule type="cellIs" priority="821" operator="equal" dxfId="1">
      <formula>"L"</formula>
    </cfRule>
    <cfRule type="cellIs" priority="822" operator="equal" dxfId="2">
      <formula>"D"</formula>
    </cfRule>
  </conditionalFormatting>
  <conditionalFormatting sqref="Q12">
    <cfRule type="cellIs" priority="823" operator="equal" dxfId="0">
      <formula>"W"</formula>
    </cfRule>
    <cfRule type="cellIs" priority="824" operator="equal" dxfId="1">
      <formula>"L"</formula>
    </cfRule>
    <cfRule type="cellIs" priority="825" operator="equal" dxfId="2">
      <formula>"D"</formula>
    </cfRule>
  </conditionalFormatting>
  <conditionalFormatting sqref="R12">
    <cfRule type="cellIs" priority="826" operator="equal" dxfId="0">
      <formula>"W"</formula>
    </cfRule>
    <cfRule type="cellIs" priority="827" operator="equal" dxfId="1">
      <formula>"L"</formula>
    </cfRule>
    <cfRule type="cellIs" priority="828" operator="equal" dxfId="2">
      <formula>"D"</formula>
    </cfRule>
  </conditionalFormatting>
  <conditionalFormatting sqref="S12">
    <cfRule type="cellIs" priority="829" operator="equal" dxfId="0">
      <formula>"W"</formula>
    </cfRule>
    <cfRule type="cellIs" priority="830" operator="equal" dxfId="1">
      <formula>"L"</formula>
    </cfRule>
    <cfRule type="cellIs" priority="831" operator="equal" dxfId="2">
      <formula>"D"</formula>
    </cfRule>
  </conditionalFormatting>
  <conditionalFormatting sqref="T12">
    <cfRule type="cellIs" priority="832" operator="equal" dxfId="0">
      <formula>"W"</formula>
    </cfRule>
    <cfRule type="cellIs" priority="833" operator="equal" dxfId="1">
      <formula>"L"</formula>
    </cfRule>
    <cfRule type="cellIs" priority="834" operator="equal" dxfId="2">
      <formula>"D"</formula>
    </cfRule>
  </conditionalFormatting>
  <conditionalFormatting sqref="U12">
    <cfRule type="cellIs" priority="835" operator="equal" dxfId="0">
      <formula>"W"</formula>
    </cfRule>
    <cfRule type="cellIs" priority="836" operator="equal" dxfId="1">
      <formula>"L"</formula>
    </cfRule>
    <cfRule type="cellIs" priority="837" operator="equal" dxfId="2">
      <formula>"D"</formula>
    </cfRule>
  </conditionalFormatting>
  <conditionalFormatting sqref="V12">
    <cfRule type="cellIs" priority="838" operator="equal" dxfId="0">
      <formula>"W"</formula>
    </cfRule>
    <cfRule type="cellIs" priority="839" operator="equal" dxfId="1">
      <formula>"L"</formula>
    </cfRule>
    <cfRule type="cellIs" priority="840" operator="equal" dxfId="2">
      <formula>"D"</formula>
    </cfRule>
  </conditionalFormatting>
  <conditionalFormatting sqref="W12">
    <cfRule type="cellIs" priority="841" operator="equal" dxfId="0">
      <formula>"W"</formula>
    </cfRule>
    <cfRule type="cellIs" priority="842" operator="equal" dxfId="1">
      <formula>"L"</formula>
    </cfRule>
    <cfRule type="cellIs" priority="843" operator="equal" dxfId="2">
      <formula>"D"</formula>
    </cfRule>
  </conditionalFormatting>
  <conditionalFormatting sqref="X12">
    <cfRule type="cellIs" priority="844" operator="equal" dxfId="0">
      <formula>"W"</formula>
    </cfRule>
    <cfRule type="cellIs" priority="845" operator="equal" dxfId="1">
      <formula>"L"</formula>
    </cfRule>
    <cfRule type="cellIs" priority="846" operator="equal" dxfId="2">
      <formula>"D"</formula>
    </cfRule>
  </conditionalFormatting>
  <conditionalFormatting sqref="Y12">
    <cfRule type="cellIs" priority="847" operator="equal" dxfId="0">
      <formula>"W"</formula>
    </cfRule>
    <cfRule type="cellIs" priority="848" operator="equal" dxfId="1">
      <formula>"L"</formula>
    </cfRule>
    <cfRule type="cellIs" priority="849" operator="equal" dxfId="2">
      <formula>"D"</formula>
    </cfRule>
  </conditionalFormatting>
  <conditionalFormatting sqref="Z12">
    <cfRule type="cellIs" priority="850" operator="equal" dxfId="0">
      <formula>"W"</formula>
    </cfRule>
    <cfRule type="cellIs" priority="851" operator="equal" dxfId="1">
      <formula>"L"</formula>
    </cfRule>
    <cfRule type="cellIs" priority="852" operator="equal" dxfId="2">
      <formula>"D"</formula>
    </cfRule>
  </conditionalFormatting>
  <conditionalFormatting sqref="AA12">
    <cfRule type="cellIs" priority="853" operator="equal" dxfId="0">
      <formula>"W"</formula>
    </cfRule>
    <cfRule type="cellIs" priority="854" operator="equal" dxfId="1">
      <formula>"L"</formula>
    </cfRule>
    <cfRule type="cellIs" priority="855" operator="equal" dxfId="2">
      <formula>"D"</formula>
    </cfRule>
  </conditionalFormatting>
  <conditionalFormatting sqref="AB12">
    <cfRule type="cellIs" priority="856" operator="equal" dxfId="0">
      <formula>"W"</formula>
    </cfRule>
    <cfRule type="cellIs" priority="857" operator="equal" dxfId="1">
      <formula>"L"</formula>
    </cfRule>
    <cfRule type="cellIs" priority="858" operator="equal" dxfId="2">
      <formula>"D"</formula>
    </cfRule>
  </conditionalFormatting>
  <conditionalFormatting sqref="AC12">
    <cfRule type="cellIs" priority="859" operator="equal" dxfId="0">
      <formula>"W"</formula>
    </cfRule>
    <cfRule type="cellIs" priority="860" operator="equal" dxfId="1">
      <formula>"L"</formula>
    </cfRule>
    <cfRule type="cellIs" priority="861" operator="equal" dxfId="2">
      <formula>"D"</formula>
    </cfRule>
  </conditionalFormatting>
  <conditionalFormatting sqref="AD12">
    <cfRule type="cellIs" priority="862" operator="equal" dxfId="0">
      <formula>"W"</formula>
    </cfRule>
    <cfRule type="cellIs" priority="863" operator="equal" dxfId="1">
      <formula>"L"</formula>
    </cfRule>
    <cfRule type="cellIs" priority="864" operator="equal" dxfId="2">
      <formula>"D"</formula>
    </cfRule>
  </conditionalFormatting>
  <conditionalFormatting sqref="AE12">
    <cfRule type="cellIs" priority="865" operator="equal" dxfId="0">
      <formula>"W"</formula>
    </cfRule>
    <cfRule type="cellIs" priority="866" operator="equal" dxfId="1">
      <formula>"L"</formula>
    </cfRule>
    <cfRule type="cellIs" priority="867" operator="equal" dxfId="2">
      <formula>"D"</formula>
    </cfRule>
  </conditionalFormatting>
  <conditionalFormatting sqref="AF12">
    <cfRule type="cellIs" priority="868" operator="equal" dxfId="0">
      <formula>"W"</formula>
    </cfRule>
    <cfRule type="cellIs" priority="869" operator="equal" dxfId="1">
      <formula>"L"</formula>
    </cfRule>
    <cfRule type="cellIs" priority="870" operator="equal" dxfId="2">
      <formula>"D"</formula>
    </cfRule>
  </conditionalFormatting>
  <conditionalFormatting sqref="C13">
    <cfRule type="cellIs" priority="871" operator="equal" dxfId="0">
      <formula>"W"</formula>
    </cfRule>
    <cfRule type="cellIs" priority="872" operator="equal" dxfId="1">
      <formula>"L"</formula>
    </cfRule>
    <cfRule type="cellIs" priority="873" operator="equal" dxfId="2">
      <formula>"D"</formula>
    </cfRule>
  </conditionalFormatting>
  <conditionalFormatting sqref="D13">
    <cfRule type="cellIs" priority="874" operator="equal" dxfId="0">
      <formula>"W"</formula>
    </cfRule>
    <cfRule type="cellIs" priority="875" operator="equal" dxfId="1">
      <formula>"L"</formula>
    </cfRule>
    <cfRule type="cellIs" priority="876" operator="equal" dxfId="2">
      <formula>"D"</formula>
    </cfRule>
  </conditionalFormatting>
  <conditionalFormatting sqref="E13">
    <cfRule type="cellIs" priority="877" operator="equal" dxfId="0">
      <formula>"W"</formula>
    </cfRule>
    <cfRule type="cellIs" priority="878" operator="equal" dxfId="1">
      <formula>"L"</formula>
    </cfRule>
    <cfRule type="cellIs" priority="879" operator="equal" dxfId="2">
      <formula>"D"</formula>
    </cfRule>
  </conditionalFormatting>
  <conditionalFormatting sqref="F13">
    <cfRule type="cellIs" priority="880" operator="equal" dxfId="0">
      <formula>"W"</formula>
    </cfRule>
    <cfRule type="cellIs" priority="881" operator="equal" dxfId="1">
      <formula>"L"</formula>
    </cfRule>
    <cfRule type="cellIs" priority="882" operator="equal" dxfId="2">
      <formula>"D"</formula>
    </cfRule>
  </conditionalFormatting>
  <conditionalFormatting sqref="G13">
    <cfRule type="cellIs" priority="883" operator="equal" dxfId="0">
      <formula>"W"</formula>
    </cfRule>
    <cfRule type="cellIs" priority="884" operator="equal" dxfId="1">
      <formula>"L"</formula>
    </cfRule>
    <cfRule type="cellIs" priority="885" operator="equal" dxfId="2">
      <formula>"D"</formula>
    </cfRule>
  </conditionalFormatting>
  <conditionalFormatting sqref="H13">
    <cfRule type="cellIs" priority="886" operator="equal" dxfId="0">
      <formula>"W"</formula>
    </cfRule>
    <cfRule type="cellIs" priority="887" operator="equal" dxfId="1">
      <formula>"L"</formula>
    </cfRule>
    <cfRule type="cellIs" priority="888" operator="equal" dxfId="2">
      <formula>"D"</formula>
    </cfRule>
  </conditionalFormatting>
  <conditionalFormatting sqref="I13">
    <cfRule type="cellIs" priority="889" operator="equal" dxfId="0">
      <formula>"W"</formula>
    </cfRule>
    <cfRule type="cellIs" priority="890" operator="equal" dxfId="1">
      <formula>"L"</formula>
    </cfRule>
    <cfRule type="cellIs" priority="891" operator="equal" dxfId="2">
      <formula>"D"</formula>
    </cfRule>
  </conditionalFormatting>
  <conditionalFormatting sqref="J13">
    <cfRule type="cellIs" priority="892" operator="equal" dxfId="0">
      <formula>"W"</formula>
    </cfRule>
    <cfRule type="cellIs" priority="893" operator="equal" dxfId="1">
      <formula>"L"</formula>
    </cfRule>
    <cfRule type="cellIs" priority="894" operator="equal" dxfId="2">
      <formula>"D"</formula>
    </cfRule>
  </conditionalFormatting>
  <conditionalFormatting sqref="K13">
    <cfRule type="cellIs" priority="895" operator="equal" dxfId="0">
      <formula>"W"</formula>
    </cfRule>
    <cfRule type="cellIs" priority="896" operator="equal" dxfId="1">
      <formula>"L"</formula>
    </cfRule>
    <cfRule type="cellIs" priority="897" operator="equal" dxfId="2">
      <formula>"D"</formula>
    </cfRule>
  </conditionalFormatting>
  <conditionalFormatting sqref="L13">
    <cfRule type="cellIs" priority="898" operator="equal" dxfId="0">
      <formula>"W"</formula>
    </cfRule>
    <cfRule type="cellIs" priority="899" operator="equal" dxfId="1">
      <formula>"L"</formula>
    </cfRule>
    <cfRule type="cellIs" priority="900" operator="equal" dxfId="2">
      <formula>"D"</formula>
    </cfRule>
  </conditionalFormatting>
  <conditionalFormatting sqref="N13">
    <cfRule type="cellIs" priority="901" operator="equal" dxfId="0">
      <formula>"W"</formula>
    </cfRule>
    <cfRule type="cellIs" priority="902" operator="equal" dxfId="1">
      <formula>"L"</formula>
    </cfRule>
    <cfRule type="cellIs" priority="903" operator="equal" dxfId="2">
      <formula>"D"</formula>
    </cfRule>
  </conditionalFormatting>
  <conditionalFormatting sqref="O13">
    <cfRule type="cellIs" priority="904" operator="equal" dxfId="0">
      <formula>"W"</formula>
    </cfRule>
    <cfRule type="cellIs" priority="905" operator="equal" dxfId="1">
      <formula>"L"</formula>
    </cfRule>
    <cfRule type="cellIs" priority="906" operator="equal" dxfId="2">
      <formula>"D"</formula>
    </cfRule>
  </conditionalFormatting>
  <conditionalFormatting sqref="P13">
    <cfRule type="cellIs" priority="907" operator="equal" dxfId="0">
      <formula>"W"</formula>
    </cfRule>
    <cfRule type="cellIs" priority="908" operator="equal" dxfId="1">
      <formula>"L"</formula>
    </cfRule>
    <cfRule type="cellIs" priority="909" operator="equal" dxfId="2">
      <formula>"D"</formula>
    </cfRule>
  </conditionalFormatting>
  <conditionalFormatting sqref="Q13">
    <cfRule type="cellIs" priority="910" operator="equal" dxfId="0">
      <formula>"W"</formula>
    </cfRule>
    <cfRule type="cellIs" priority="911" operator="equal" dxfId="1">
      <formula>"L"</formula>
    </cfRule>
    <cfRule type="cellIs" priority="912" operator="equal" dxfId="2">
      <formula>"D"</formula>
    </cfRule>
  </conditionalFormatting>
  <conditionalFormatting sqref="R13">
    <cfRule type="cellIs" priority="913" operator="equal" dxfId="0">
      <formula>"W"</formula>
    </cfRule>
    <cfRule type="cellIs" priority="914" operator="equal" dxfId="1">
      <formula>"L"</formula>
    </cfRule>
    <cfRule type="cellIs" priority="915" operator="equal" dxfId="2">
      <formula>"D"</formula>
    </cfRule>
  </conditionalFormatting>
  <conditionalFormatting sqref="S13">
    <cfRule type="cellIs" priority="916" operator="equal" dxfId="0">
      <formula>"W"</formula>
    </cfRule>
    <cfRule type="cellIs" priority="917" operator="equal" dxfId="1">
      <formula>"L"</formula>
    </cfRule>
    <cfRule type="cellIs" priority="918" operator="equal" dxfId="2">
      <formula>"D"</formula>
    </cfRule>
  </conditionalFormatting>
  <conditionalFormatting sqref="T13">
    <cfRule type="cellIs" priority="919" operator="equal" dxfId="0">
      <formula>"W"</formula>
    </cfRule>
    <cfRule type="cellIs" priority="920" operator="equal" dxfId="1">
      <formula>"L"</formula>
    </cfRule>
    <cfRule type="cellIs" priority="921" operator="equal" dxfId="2">
      <formula>"D"</formula>
    </cfRule>
  </conditionalFormatting>
  <conditionalFormatting sqref="U13">
    <cfRule type="cellIs" priority="922" operator="equal" dxfId="0">
      <formula>"W"</formula>
    </cfRule>
    <cfRule type="cellIs" priority="923" operator="equal" dxfId="1">
      <formula>"L"</formula>
    </cfRule>
    <cfRule type="cellIs" priority="924" operator="equal" dxfId="2">
      <formula>"D"</formula>
    </cfRule>
  </conditionalFormatting>
  <conditionalFormatting sqref="V13">
    <cfRule type="cellIs" priority="925" operator="equal" dxfId="0">
      <formula>"W"</formula>
    </cfRule>
    <cfRule type="cellIs" priority="926" operator="equal" dxfId="1">
      <formula>"L"</formula>
    </cfRule>
    <cfRule type="cellIs" priority="927" operator="equal" dxfId="2">
      <formula>"D"</formula>
    </cfRule>
  </conditionalFormatting>
  <conditionalFormatting sqref="W13">
    <cfRule type="cellIs" priority="928" operator="equal" dxfId="0">
      <formula>"W"</formula>
    </cfRule>
    <cfRule type="cellIs" priority="929" operator="equal" dxfId="1">
      <formula>"L"</formula>
    </cfRule>
    <cfRule type="cellIs" priority="930" operator="equal" dxfId="2">
      <formula>"D"</formula>
    </cfRule>
  </conditionalFormatting>
  <conditionalFormatting sqref="X13">
    <cfRule type="cellIs" priority="931" operator="equal" dxfId="0">
      <formula>"W"</formula>
    </cfRule>
    <cfRule type="cellIs" priority="932" operator="equal" dxfId="1">
      <formula>"L"</formula>
    </cfRule>
    <cfRule type="cellIs" priority="933" operator="equal" dxfId="2">
      <formula>"D"</formula>
    </cfRule>
  </conditionalFormatting>
  <conditionalFormatting sqref="Y13">
    <cfRule type="cellIs" priority="934" operator="equal" dxfId="0">
      <formula>"W"</formula>
    </cfRule>
    <cfRule type="cellIs" priority="935" operator="equal" dxfId="1">
      <formula>"L"</formula>
    </cfRule>
    <cfRule type="cellIs" priority="936" operator="equal" dxfId="2">
      <formula>"D"</formula>
    </cfRule>
  </conditionalFormatting>
  <conditionalFormatting sqref="Z13">
    <cfRule type="cellIs" priority="937" operator="equal" dxfId="0">
      <formula>"W"</formula>
    </cfRule>
    <cfRule type="cellIs" priority="938" operator="equal" dxfId="1">
      <formula>"L"</formula>
    </cfRule>
    <cfRule type="cellIs" priority="939" operator="equal" dxfId="2">
      <formula>"D"</formula>
    </cfRule>
  </conditionalFormatting>
  <conditionalFormatting sqref="AA13">
    <cfRule type="cellIs" priority="940" operator="equal" dxfId="0">
      <formula>"W"</formula>
    </cfRule>
    <cfRule type="cellIs" priority="941" operator="equal" dxfId="1">
      <formula>"L"</formula>
    </cfRule>
    <cfRule type="cellIs" priority="942" operator="equal" dxfId="2">
      <formula>"D"</formula>
    </cfRule>
  </conditionalFormatting>
  <conditionalFormatting sqref="AB13">
    <cfRule type="cellIs" priority="943" operator="equal" dxfId="0">
      <formula>"W"</formula>
    </cfRule>
    <cfRule type="cellIs" priority="944" operator="equal" dxfId="1">
      <formula>"L"</formula>
    </cfRule>
    <cfRule type="cellIs" priority="945" operator="equal" dxfId="2">
      <formula>"D"</formula>
    </cfRule>
  </conditionalFormatting>
  <conditionalFormatting sqref="AC13">
    <cfRule type="cellIs" priority="946" operator="equal" dxfId="0">
      <formula>"W"</formula>
    </cfRule>
    <cfRule type="cellIs" priority="947" operator="equal" dxfId="1">
      <formula>"L"</formula>
    </cfRule>
    <cfRule type="cellIs" priority="948" operator="equal" dxfId="2">
      <formula>"D"</formula>
    </cfRule>
  </conditionalFormatting>
  <conditionalFormatting sqref="AD13">
    <cfRule type="cellIs" priority="949" operator="equal" dxfId="0">
      <formula>"W"</formula>
    </cfRule>
    <cfRule type="cellIs" priority="950" operator="equal" dxfId="1">
      <formula>"L"</formula>
    </cfRule>
    <cfRule type="cellIs" priority="951" operator="equal" dxfId="2">
      <formula>"D"</formula>
    </cfRule>
  </conditionalFormatting>
  <conditionalFormatting sqref="AE13">
    <cfRule type="cellIs" priority="952" operator="equal" dxfId="0">
      <formula>"W"</formula>
    </cfRule>
    <cfRule type="cellIs" priority="953" operator="equal" dxfId="1">
      <formula>"L"</formula>
    </cfRule>
    <cfRule type="cellIs" priority="954" operator="equal" dxfId="2">
      <formula>"D"</formula>
    </cfRule>
  </conditionalFormatting>
  <conditionalFormatting sqref="AF13">
    <cfRule type="cellIs" priority="955" operator="equal" dxfId="0">
      <formula>"W"</formula>
    </cfRule>
    <cfRule type="cellIs" priority="956" operator="equal" dxfId="1">
      <formula>"L"</formula>
    </cfRule>
    <cfRule type="cellIs" priority="957" operator="equal" dxfId="2">
      <formula>"D"</formula>
    </cfRule>
  </conditionalFormatting>
  <conditionalFormatting sqref="C14">
    <cfRule type="cellIs" priority="958" operator="equal" dxfId="0">
      <formula>"W"</formula>
    </cfRule>
    <cfRule type="cellIs" priority="959" operator="equal" dxfId="1">
      <formula>"L"</formula>
    </cfRule>
    <cfRule type="cellIs" priority="960" operator="equal" dxfId="2">
      <formula>"D"</formula>
    </cfRule>
  </conditionalFormatting>
  <conditionalFormatting sqref="D14">
    <cfRule type="cellIs" priority="961" operator="equal" dxfId="0">
      <formula>"W"</formula>
    </cfRule>
    <cfRule type="cellIs" priority="962" operator="equal" dxfId="1">
      <formula>"L"</formula>
    </cfRule>
    <cfRule type="cellIs" priority="963" operator="equal" dxfId="2">
      <formula>"D"</formula>
    </cfRule>
  </conditionalFormatting>
  <conditionalFormatting sqref="E14">
    <cfRule type="cellIs" priority="964" operator="equal" dxfId="0">
      <formula>"W"</formula>
    </cfRule>
    <cfRule type="cellIs" priority="965" operator="equal" dxfId="1">
      <formula>"L"</formula>
    </cfRule>
    <cfRule type="cellIs" priority="966" operator="equal" dxfId="2">
      <formula>"D"</formula>
    </cfRule>
  </conditionalFormatting>
  <conditionalFormatting sqref="F14">
    <cfRule type="cellIs" priority="967" operator="equal" dxfId="0">
      <formula>"W"</formula>
    </cfRule>
    <cfRule type="cellIs" priority="968" operator="equal" dxfId="1">
      <formula>"L"</formula>
    </cfRule>
    <cfRule type="cellIs" priority="969" operator="equal" dxfId="2">
      <formula>"D"</formula>
    </cfRule>
  </conditionalFormatting>
  <conditionalFormatting sqref="G14">
    <cfRule type="cellIs" priority="970" operator="equal" dxfId="0">
      <formula>"W"</formula>
    </cfRule>
    <cfRule type="cellIs" priority="971" operator="equal" dxfId="1">
      <formula>"L"</formula>
    </cfRule>
    <cfRule type="cellIs" priority="972" operator="equal" dxfId="2">
      <formula>"D"</formula>
    </cfRule>
  </conditionalFormatting>
  <conditionalFormatting sqref="H14">
    <cfRule type="cellIs" priority="973" operator="equal" dxfId="0">
      <formula>"W"</formula>
    </cfRule>
    <cfRule type="cellIs" priority="974" operator="equal" dxfId="1">
      <formula>"L"</formula>
    </cfRule>
    <cfRule type="cellIs" priority="975" operator="equal" dxfId="2">
      <formula>"D"</formula>
    </cfRule>
  </conditionalFormatting>
  <conditionalFormatting sqref="I14">
    <cfRule type="cellIs" priority="976" operator="equal" dxfId="0">
      <formula>"W"</formula>
    </cfRule>
    <cfRule type="cellIs" priority="977" operator="equal" dxfId="1">
      <formula>"L"</formula>
    </cfRule>
    <cfRule type="cellIs" priority="978" operator="equal" dxfId="2">
      <formula>"D"</formula>
    </cfRule>
  </conditionalFormatting>
  <conditionalFormatting sqref="J14">
    <cfRule type="cellIs" priority="979" operator="equal" dxfId="0">
      <formula>"W"</formula>
    </cfRule>
    <cfRule type="cellIs" priority="980" operator="equal" dxfId="1">
      <formula>"L"</formula>
    </cfRule>
    <cfRule type="cellIs" priority="981" operator="equal" dxfId="2">
      <formula>"D"</formula>
    </cfRule>
  </conditionalFormatting>
  <conditionalFormatting sqref="K14">
    <cfRule type="cellIs" priority="982" operator="equal" dxfId="0">
      <formula>"W"</formula>
    </cfRule>
    <cfRule type="cellIs" priority="983" operator="equal" dxfId="1">
      <formula>"L"</formula>
    </cfRule>
    <cfRule type="cellIs" priority="984" operator="equal" dxfId="2">
      <formula>"D"</formula>
    </cfRule>
  </conditionalFormatting>
  <conditionalFormatting sqref="L14">
    <cfRule type="cellIs" priority="985" operator="equal" dxfId="0">
      <formula>"W"</formula>
    </cfRule>
    <cfRule type="cellIs" priority="986" operator="equal" dxfId="1">
      <formula>"L"</formula>
    </cfRule>
    <cfRule type="cellIs" priority="987" operator="equal" dxfId="2">
      <formula>"D"</formula>
    </cfRule>
  </conditionalFormatting>
  <conditionalFormatting sqref="M14">
    <cfRule type="cellIs" priority="988" operator="equal" dxfId="0">
      <formula>"W"</formula>
    </cfRule>
    <cfRule type="cellIs" priority="989" operator="equal" dxfId="1">
      <formula>"L"</formula>
    </cfRule>
    <cfRule type="cellIs" priority="990" operator="equal" dxfId="2">
      <formula>"D"</formula>
    </cfRule>
  </conditionalFormatting>
  <conditionalFormatting sqref="O14">
    <cfRule type="cellIs" priority="991" operator="equal" dxfId="0">
      <formula>"W"</formula>
    </cfRule>
    <cfRule type="cellIs" priority="992" operator="equal" dxfId="1">
      <formula>"L"</formula>
    </cfRule>
    <cfRule type="cellIs" priority="993" operator="equal" dxfId="2">
      <formula>"D"</formula>
    </cfRule>
  </conditionalFormatting>
  <conditionalFormatting sqref="P14">
    <cfRule type="cellIs" priority="994" operator="equal" dxfId="0">
      <formula>"W"</formula>
    </cfRule>
    <cfRule type="cellIs" priority="995" operator="equal" dxfId="1">
      <formula>"L"</formula>
    </cfRule>
    <cfRule type="cellIs" priority="996" operator="equal" dxfId="2">
      <formula>"D"</formula>
    </cfRule>
  </conditionalFormatting>
  <conditionalFormatting sqref="Q14">
    <cfRule type="cellIs" priority="997" operator="equal" dxfId="0">
      <formula>"W"</formula>
    </cfRule>
    <cfRule type="cellIs" priority="998" operator="equal" dxfId="1">
      <formula>"L"</formula>
    </cfRule>
    <cfRule type="cellIs" priority="999" operator="equal" dxfId="2">
      <formula>"D"</formula>
    </cfRule>
  </conditionalFormatting>
  <conditionalFormatting sqref="R14">
    <cfRule type="cellIs" priority="1000" operator="equal" dxfId="0">
      <formula>"W"</formula>
    </cfRule>
    <cfRule type="cellIs" priority="1001" operator="equal" dxfId="1">
      <formula>"L"</formula>
    </cfRule>
    <cfRule type="cellIs" priority="1002" operator="equal" dxfId="2">
      <formula>"D"</formula>
    </cfRule>
  </conditionalFormatting>
  <conditionalFormatting sqref="S14">
    <cfRule type="cellIs" priority="1003" operator="equal" dxfId="0">
      <formula>"W"</formula>
    </cfRule>
    <cfRule type="cellIs" priority="1004" operator="equal" dxfId="1">
      <formula>"L"</formula>
    </cfRule>
    <cfRule type="cellIs" priority="1005" operator="equal" dxfId="2">
      <formula>"D"</formula>
    </cfRule>
  </conditionalFormatting>
  <conditionalFormatting sqref="T14">
    <cfRule type="cellIs" priority="1006" operator="equal" dxfId="0">
      <formula>"W"</formula>
    </cfRule>
    <cfRule type="cellIs" priority="1007" operator="equal" dxfId="1">
      <formula>"L"</formula>
    </cfRule>
    <cfRule type="cellIs" priority="1008" operator="equal" dxfId="2">
      <formula>"D"</formula>
    </cfRule>
  </conditionalFormatting>
  <conditionalFormatting sqref="U14">
    <cfRule type="cellIs" priority="1009" operator="equal" dxfId="0">
      <formula>"W"</formula>
    </cfRule>
    <cfRule type="cellIs" priority="1010" operator="equal" dxfId="1">
      <formula>"L"</formula>
    </cfRule>
    <cfRule type="cellIs" priority="1011" operator="equal" dxfId="2">
      <formula>"D"</formula>
    </cfRule>
  </conditionalFormatting>
  <conditionalFormatting sqref="V14">
    <cfRule type="cellIs" priority="1012" operator="equal" dxfId="0">
      <formula>"W"</formula>
    </cfRule>
    <cfRule type="cellIs" priority="1013" operator="equal" dxfId="1">
      <formula>"L"</formula>
    </cfRule>
    <cfRule type="cellIs" priority="1014" operator="equal" dxfId="2">
      <formula>"D"</formula>
    </cfRule>
  </conditionalFormatting>
  <conditionalFormatting sqref="W14">
    <cfRule type="cellIs" priority="1015" operator="equal" dxfId="0">
      <formula>"W"</formula>
    </cfRule>
    <cfRule type="cellIs" priority="1016" operator="equal" dxfId="1">
      <formula>"L"</formula>
    </cfRule>
    <cfRule type="cellIs" priority="1017" operator="equal" dxfId="2">
      <formula>"D"</formula>
    </cfRule>
  </conditionalFormatting>
  <conditionalFormatting sqref="X14">
    <cfRule type="cellIs" priority="1018" operator="equal" dxfId="0">
      <formula>"W"</formula>
    </cfRule>
    <cfRule type="cellIs" priority="1019" operator="equal" dxfId="1">
      <formula>"L"</formula>
    </cfRule>
    <cfRule type="cellIs" priority="1020" operator="equal" dxfId="2">
      <formula>"D"</formula>
    </cfRule>
  </conditionalFormatting>
  <conditionalFormatting sqref="Y14">
    <cfRule type="cellIs" priority="1021" operator="equal" dxfId="0">
      <formula>"W"</formula>
    </cfRule>
    <cfRule type="cellIs" priority="1022" operator="equal" dxfId="1">
      <formula>"L"</formula>
    </cfRule>
    <cfRule type="cellIs" priority="1023" operator="equal" dxfId="2">
      <formula>"D"</formula>
    </cfRule>
  </conditionalFormatting>
  <conditionalFormatting sqref="Z14">
    <cfRule type="cellIs" priority="1024" operator="equal" dxfId="0">
      <formula>"W"</formula>
    </cfRule>
    <cfRule type="cellIs" priority="1025" operator="equal" dxfId="1">
      <formula>"L"</formula>
    </cfRule>
    <cfRule type="cellIs" priority="1026" operator="equal" dxfId="2">
      <formula>"D"</formula>
    </cfRule>
  </conditionalFormatting>
  <conditionalFormatting sqref="AA14">
    <cfRule type="cellIs" priority="1027" operator="equal" dxfId="0">
      <formula>"W"</formula>
    </cfRule>
    <cfRule type="cellIs" priority="1028" operator="equal" dxfId="1">
      <formula>"L"</formula>
    </cfRule>
    <cfRule type="cellIs" priority="1029" operator="equal" dxfId="2">
      <formula>"D"</formula>
    </cfRule>
  </conditionalFormatting>
  <conditionalFormatting sqref="AB14">
    <cfRule type="cellIs" priority="1030" operator="equal" dxfId="0">
      <formula>"W"</formula>
    </cfRule>
    <cfRule type="cellIs" priority="1031" operator="equal" dxfId="1">
      <formula>"L"</formula>
    </cfRule>
    <cfRule type="cellIs" priority="1032" operator="equal" dxfId="2">
      <formula>"D"</formula>
    </cfRule>
  </conditionalFormatting>
  <conditionalFormatting sqref="AC14">
    <cfRule type="cellIs" priority="1033" operator="equal" dxfId="0">
      <formula>"W"</formula>
    </cfRule>
    <cfRule type="cellIs" priority="1034" operator="equal" dxfId="1">
      <formula>"L"</formula>
    </cfRule>
    <cfRule type="cellIs" priority="1035" operator="equal" dxfId="2">
      <formula>"D"</formula>
    </cfRule>
  </conditionalFormatting>
  <conditionalFormatting sqref="AD14">
    <cfRule type="cellIs" priority="1036" operator="equal" dxfId="0">
      <formula>"W"</formula>
    </cfRule>
    <cfRule type="cellIs" priority="1037" operator="equal" dxfId="1">
      <formula>"L"</formula>
    </cfRule>
    <cfRule type="cellIs" priority="1038" operator="equal" dxfId="2">
      <formula>"D"</formula>
    </cfRule>
  </conditionalFormatting>
  <conditionalFormatting sqref="AE14">
    <cfRule type="cellIs" priority="1039" operator="equal" dxfId="0">
      <formula>"W"</formula>
    </cfRule>
    <cfRule type="cellIs" priority="1040" operator="equal" dxfId="1">
      <formula>"L"</formula>
    </cfRule>
    <cfRule type="cellIs" priority="1041" operator="equal" dxfId="2">
      <formula>"D"</formula>
    </cfRule>
  </conditionalFormatting>
  <conditionalFormatting sqref="AF14">
    <cfRule type="cellIs" priority="1042" operator="equal" dxfId="0">
      <formula>"W"</formula>
    </cfRule>
    <cfRule type="cellIs" priority="1043" operator="equal" dxfId="1">
      <formula>"L"</formula>
    </cfRule>
    <cfRule type="cellIs" priority="1044" operator="equal" dxfId="2">
      <formula>"D"</formula>
    </cfRule>
  </conditionalFormatting>
  <conditionalFormatting sqref="C15">
    <cfRule type="cellIs" priority="1045" operator="equal" dxfId="0">
      <formula>"W"</formula>
    </cfRule>
    <cfRule type="cellIs" priority="1046" operator="equal" dxfId="1">
      <formula>"L"</formula>
    </cfRule>
    <cfRule type="cellIs" priority="1047" operator="equal" dxfId="2">
      <formula>"D"</formula>
    </cfRule>
  </conditionalFormatting>
  <conditionalFormatting sqref="D15">
    <cfRule type="cellIs" priority="1048" operator="equal" dxfId="0">
      <formula>"W"</formula>
    </cfRule>
    <cfRule type="cellIs" priority="1049" operator="equal" dxfId="1">
      <formula>"L"</formula>
    </cfRule>
    <cfRule type="cellIs" priority="1050" operator="equal" dxfId="2">
      <formula>"D"</formula>
    </cfRule>
  </conditionalFormatting>
  <conditionalFormatting sqref="E15">
    <cfRule type="cellIs" priority="1051" operator="equal" dxfId="0">
      <formula>"W"</formula>
    </cfRule>
    <cfRule type="cellIs" priority="1052" operator="equal" dxfId="1">
      <formula>"L"</formula>
    </cfRule>
    <cfRule type="cellIs" priority="1053" operator="equal" dxfId="2">
      <formula>"D"</formula>
    </cfRule>
  </conditionalFormatting>
  <conditionalFormatting sqref="F15">
    <cfRule type="cellIs" priority="1054" operator="equal" dxfId="0">
      <formula>"W"</formula>
    </cfRule>
    <cfRule type="cellIs" priority="1055" operator="equal" dxfId="1">
      <formula>"L"</formula>
    </cfRule>
    <cfRule type="cellIs" priority="1056" operator="equal" dxfId="2">
      <formula>"D"</formula>
    </cfRule>
  </conditionalFormatting>
  <conditionalFormatting sqref="G15">
    <cfRule type="cellIs" priority="1057" operator="equal" dxfId="0">
      <formula>"W"</formula>
    </cfRule>
    <cfRule type="cellIs" priority="1058" operator="equal" dxfId="1">
      <formula>"L"</formula>
    </cfRule>
    <cfRule type="cellIs" priority="1059" operator="equal" dxfId="2">
      <formula>"D"</formula>
    </cfRule>
  </conditionalFormatting>
  <conditionalFormatting sqref="H15">
    <cfRule type="cellIs" priority="1060" operator="equal" dxfId="0">
      <formula>"W"</formula>
    </cfRule>
    <cfRule type="cellIs" priority="1061" operator="equal" dxfId="1">
      <formula>"L"</formula>
    </cfRule>
    <cfRule type="cellIs" priority="1062" operator="equal" dxfId="2">
      <formula>"D"</formula>
    </cfRule>
  </conditionalFormatting>
  <conditionalFormatting sqref="I15">
    <cfRule type="cellIs" priority="1063" operator="equal" dxfId="0">
      <formula>"W"</formula>
    </cfRule>
    <cfRule type="cellIs" priority="1064" operator="equal" dxfId="1">
      <formula>"L"</formula>
    </cfRule>
    <cfRule type="cellIs" priority="1065" operator="equal" dxfId="2">
      <formula>"D"</formula>
    </cfRule>
  </conditionalFormatting>
  <conditionalFormatting sqref="J15">
    <cfRule type="cellIs" priority="1066" operator="equal" dxfId="0">
      <formula>"W"</formula>
    </cfRule>
    <cfRule type="cellIs" priority="1067" operator="equal" dxfId="1">
      <formula>"L"</formula>
    </cfRule>
    <cfRule type="cellIs" priority="1068" operator="equal" dxfId="2">
      <formula>"D"</formula>
    </cfRule>
  </conditionalFormatting>
  <conditionalFormatting sqref="K15">
    <cfRule type="cellIs" priority="1069" operator="equal" dxfId="0">
      <formula>"W"</formula>
    </cfRule>
    <cfRule type="cellIs" priority="1070" operator="equal" dxfId="1">
      <formula>"L"</formula>
    </cfRule>
    <cfRule type="cellIs" priority="1071" operator="equal" dxfId="2">
      <formula>"D"</formula>
    </cfRule>
  </conditionalFormatting>
  <conditionalFormatting sqref="L15">
    <cfRule type="cellIs" priority="1072" operator="equal" dxfId="0">
      <formula>"W"</formula>
    </cfRule>
    <cfRule type="cellIs" priority="1073" operator="equal" dxfId="1">
      <formula>"L"</formula>
    </cfRule>
    <cfRule type="cellIs" priority="1074" operator="equal" dxfId="2">
      <formula>"D"</formula>
    </cfRule>
  </conditionalFormatting>
  <conditionalFormatting sqref="M15">
    <cfRule type="cellIs" priority="1075" operator="equal" dxfId="0">
      <formula>"W"</formula>
    </cfRule>
    <cfRule type="cellIs" priority="1076" operator="equal" dxfId="1">
      <formula>"L"</formula>
    </cfRule>
    <cfRule type="cellIs" priority="1077" operator="equal" dxfId="2">
      <formula>"D"</formula>
    </cfRule>
  </conditionalFormatting>
  <conditionalFormatting sqref="N15">
    <cfRule type="cellIs" priority="1078" operator="equal" dxfId="0">
      <formula>"W"</formula>
    </cfRule>
    <cfRule type="cellIs" priority="1079" operator="equal" dxfId="1">
      <formula>"L"</formula>
    </cfRule>
    <cfRule type="cellIs" priority="1080" operator="equal" dxfId="2">
      <formula>"D"</formula>
    </cfRule>
  </conditionalFormatting>
  <conditionalFormatting sqref="P15">
    <cfRule type="cellIs" priority="1081" operator="equal" dxfId="0">
      <formula>"W"</formula>
    </cfRule>
    <cfRule type="cellIs" priority="1082" operator="equal" dxfId="1">
      <formula>"L"</formula>
    </cfRule>
    <cfRule type="cellIs" priority="1083" operator="equal" dxfId="2">
      <formula>"D"</formula>
    </cfRule>
  </conditionalFormatting>
  <conditionalFormatting sqref="Q15">
    <cfRule type="cellIs" priority="1084" operator="equal" dxfId="0">
      <formula>"W"</formula>
    </cfRule>
    <cfRule type="cellIs" priority="1085" operator="equal" dxfId="1">
      <formula>"L"</formula>
    </cfRule>
    <cfRule type="cellIs" priority="1086" operator="equal" dxfId="2">
      <formula>"D"</formula>
    </cfRule>
  </conditionalFormatting>
  <conditionalFormatting sqref="R15">
    <cfRule type="cellIs" priority="1087" operator="equal" dxfId="0">
      <formula>"W"</formula>
    </cfRule>
    <cfRule type="cellIs" priority="1088" operator="equal" dxfId="1">
      <formula>"L"</formula>
    </cfRule>
    <cfRule type="cellIs" priority="1089" operator="equal" dxfId="2">
      <formula>"D"</formula>
    </cfRule>
  </conditionalFormatting>
  <conditionalFormatting sqref="S15">
    <cfRule type="cellIs" priority="1090" operator="equal" dxfId="0">
      <formula>"W"</formula>
    </cfRule>
    <cfRule type="cellIs" priority="1091" operator="equal" dxfId="1">
      <formula>"L"</formula>
    </cfRule>
    <cfRule type="cellIs" priority="1092" operator="equal" dxfId="2">
      <formula>"D"</formula>
    </cfRule>
  </conditionalFormatting>
  <conditionalFormatting sqref="T15">
    <cfRule type="cellIs" priority="1093" operator="equal" dxfId="0">
      <formula>"W"</formula>
    </cfRule>
    <cfRule type="cellIs" priority="1094" operator="equal" dxfId="1">
      <formula>"L"</formula>
    </cfRule>
    <cfRule type="cellIs" priority="1095" operator="equal" dxfId="2">
      <formula>"D"</formula>
    </cfRule>
  </conditionalFormatting>
  <conditionalFormatting sqref="U15">
    <cfRule type="cellIs" priority="1096" operator="equal" dxfId="0">
      <formula>"W"</formula>
    </cfRule>
    <cfRule type="cellIs" priority="1097" operator="equal" dxfId="1">
      <formula>"L"</formula>
    </cfRule>
    <cfRule type="cellIs" priority="1098" operator="equal" dxfId="2">
      <formula>"D"</formula>
    </cfRule>
  </conditionalFormatting>
  <conditionalFormatting sqref="V15">
    <cfRule type="cellIs" priority="1099" operator="equal" dxfId="0">
      <formula>"W"</formula>
    </cfRule>
    <cfRule type="cellIs" priority="1100" operator="equal" dxfId="1">
      <formula>"L"</formula>
    </cfRule>
    <cfRule type="cellIs" priority="1101" operator="equal" dxfId="2">
      <formula>"D"</formula>
    </cfRule>
  </conditionalFormatting>
  <conditionalFormatting sqref="W15">
    <cfRule type="cellIs" priority="1102" operator="equal" dxfId="0">
      <formula>"W"</formula>
    </cfRule>
    <cfRule type="cellIs" priority="1103" operator="equal" dxfId="1">
      <formula>"L"</formula>
    </cfRule>
    <cfRule type="cellIs" priority="1104" operator="equal" dxfId="2">
      <formula>"D"</formula>
    </cfRule>
  </conditionalFormatting>
  <conditionalFormatting sqref="X15">
    <cfRule type="cellIs" priority="1105" operator="equal" dxfId="0">
      <formula>"W"</formula>
    </cfRule>
    <cfRule type="cellIs" priority="1106" operator="equal" dxfId="1">
      <formula>"L"</formula>
    </cfRule>
    <cfRule type="cellIs" priority="1107" operator="equal" dxfId="2">
      <formula>"D"</formula>
    </cfRule>
  </conditionalFormatting>
  <conditionalFormatting sqref="Y15">
    <cfRule type="cellIs" priority="1108" operator="equal" dxfId="0">
      <formula>"W"</formula>
    </cfRule>
    <cfRule type="cellIs" priority="1109" operator="equal" dxfId="1">
      <formula>"L"</formula>
    </cfRule>
    <cfRule type="cellIs" priority="1110" operator="equal" dxfId="2">
      <formula>"D"</formula>
    </cfRule>
  </conditionalFormatting>
  <conditionalFormatting sqref="Z15">
    <cfRule type="cellIs" priority="1111" operator="equal" dxfId="0">
      <formula>"W"</formula>
    </cfRule>
    <cfRule type="cellIs" priority="1112" operator="equal" dxfId="1">
      <formula>"L"</formula>
    </cfRule>
    <cfRule type="cellIs" priority="1113" operator="equal" dxfId="2">
      <formula>"D"</formula>
    </cfRule>
  </conditionalFormatting>
  <conditionalFormatting sqref="AA15">
    <cfRule type="cellIs" priority="1114" operator="equal" dxfId="0">
      <formula>"W"</formula>
    </cfRule>
    <cfRule type="cellIs" priority="1115" operator="equal" dxfId="1">
      <formula>"L"</formula>
    </cfRule>
    <cfRule type="cellIs" priority="1116" operator="equal" dxfId="2">
      <formula>"D"</formula>
    </cfRule>
  </conditionalFormatting>
  <conditionalFormatting sqref="AB15">
    <cfRule type="cellIs" priority="1117" operator="equal" dxfId="0">
      <formula>"W"</formula>
    </cfRule>
    <cfRule type="cellIs" priority="1118" operator="equal" dxfId="1">
      <formula>"L"</formula>
    </cfRule>
    <cfRule type="cellIs" priority="1119" operator="equal" dxfId="2">
      <formula>"D"</formula>
    </cfRule>
  </conditionalFormatting>
  <conditionalFormatting sqref="AC15">
    <cfRule type="cellIs" priority="1120" operator="equal" dxfId="0">
      <formula>"W"</formula>
    </cfRule>
    <cfRule type="cellIs" priority="1121" operator="equal" dxfId="1">
      <formula>"L"</formula>
    </cfRule>
    <cfRule type="cellIs" priority="1122" operator="equal" dxfId="2">
      <formula>"D"</formula>
    </cfRule>
  </conditionalFormatting>
  <conditionalFormatting sqref="AD15">
    <cfRule type="cellIs" priority="1123" operator="equal" dxfId="0">
      <formula>"W"</formula>
    </cfRule>
    <cfRule type="cellIs" priority="1124" operator="equal" dxfId="1">
      <formula>"L"</formula>
    </cfRule>
    <cfRule type="cellIs" priority="1125" operator="equal" dxfId="2">
      <formula>"D"</formula>
    </cfRule>
  </conditionalFormatting>
  <conditionalFormatting sqref="AE15">
    <cfRule type="cellIs" priority="1126" operator="equal" dxfId="0">
      <formula>"W"</formula>
    </cfRule>
    <cfRule type="cellIs" priority="1127" operator="equal" dxfId="1">
      <formula>"L"</formula>
    </cfRule>
    <cfRule type="cellIs" priority="1128" operator="equal" dxfId="2">
      <formula>"D"</formula>
    </cfRule>
  </conditionalFormatting>
  <conditionalFormatting sqref="AF15">
    <cfRule type="cellIs" priority="1129" operator="equal" dxfId="0">
      <formula>"W"</formula>
    </cfRule>
    <cfRule type="cellIs" priority="1130" operator="equal" dxfId="1">
      <formula>"L"</formula>
    </cfRule>
    <cfRule type="cellIs" priority="1131" operator="equal" dxfId="2">
      <formula>"D"</formula>
    </cfRule>
  </conditionalFormatting>
  <conditionalFormatting sqref="C16">
    <cfRule type="cellIs" priority="1132" operator="equal" dxfId="0">
      <formula>"W"</formula>
    </cfRule>
    <cfRule type="cellIs" priority="1133" operator="equal" dxfId="1">
      <formula>"L"</formula>
    </cfRule>
    <cfRule type="cellIs" priority="1134" operator="equal" dxfId="2">
      <formula>"D"</formula>
    </cfRule>
  </conditionalFormatting>
  <conditionalFormatting sqref="D16">
    <cfRule type="cellIs" priority="1135" operator="equal" dxfId="0">
      <formula>"W"</formula>
    </cfRule>
    <cfRule type="cellIs" priority="1136" operator="equal" dxfId="1">
      <formula>"L"</formula>
    </cfRule>
    <cfRule type="cellIs" priority="1137" operator="equal" dxfId="2">
      <formula>"D"</formula>
    </cfRule>
  </conditionalFormatting>
  <conditionalFormatting sqref="E16">
    <cfRule type="cellIs" priority="1138" operator="equal" dxfId="0">
      <formula>"W"</formula>
    </cfRule>
    <cfRule type="cellIs" priority="1139" operator="equal" dxfId="1">
      <formula>"L"</formula>
    </cfRule>
    <cfRule type="cellIs" priority="1140" operator="equal" dxfId="2">
      <formula>"D"</formula>
    </cfRule>
  </conditionalFormatting>
  <conditionalFormatting sqref="F16">
    <cfRule type="cellIs" priority="1141" operator="equal" dxfId="0">
      <formula>"W"</formula>
    </cfRule>
    <cfRule type="cellIs" priority="1142" operator="equal" dxfId="1">
      <formula>"L"</formula>
    </cfRule>
    <cfRule type="cellIs" priority="1143" operator="equal" dxfId="2">
      <formula>"D"</formula>
    </cfRule>
  </conditionalFormatting>
  <conditionalFormatting sqref="G16">
    <cfRule type="cellIs" priority="1144" operator="equal" dxfId="0">
      <formula>"W"</formula>
    </cfRule>
    <cfRule type="cellIs" priority="1145" operator="equal" dxfId="1">
      <formula>"L"</formula>
    </cfRule>
    <cfRule type="cellIs" priority="1146" operator="equal" dxfId="2">
      <formula>"D"</formula>
    </cfRule>
  </conditionalFormatting>
  <conditionalFormatting sqref="H16">
    <cfRule type="cellIs" priority="1147" operator="equal" dxfId="0">
      <formula>"W"</formula>
    </cfRule>
    <cfRule type="cellIs" priority="1148" operator="equal" dxfId="1">
      <formula>"L"</formula>
    </cfRule>
    <cfRule type="cellIs" priority="1149" operator="equal" dxfId="2">
      <formula>"D"</formula>
    </cfRule>
  </conditionalFormatting>
  <conditionalFormatting sqref="I16">
    <cfRule type="cellIs" priority="1150" operator="equal" dxfId="0">
      <formula>"W"</formula>
    </cfRule>
    <cfRule type="cellIs" priority="1151" operator="equal" dxfId="1">
      <formula>"L"</formula>
    </cfRule>
    <cfRule type="cellIs" priority="1152" operator="equal" dxfId="2">
      <formula>"D"</formula>
    </cfRule>
  </conditionalFormatting>
  <conditionalFormatting sqref="J16">
    <cfRule type="cellIs" priority="1153" operator="equal" dxfId="0">
      <formula>"W"</formula>
    </cfRule>
    <cfRule type="cellIs" priority="1154" operator="equal" dxfId="1">
      <formula>"L"</formula>
    </cfRule>
    <cfRule type="cellIs" priority="1155" operator="equal" dxfId="2">
      <formula>"D"</formula>
    </cfRule>
  </conditionalFormatting>
  <conditionalFormatting sqref="K16">
    <cfRule type="cellIs" priority="1156" operator="equal" dxfId="0">
      <formula>"W"</formula>
    </cfRule>
    <cfRule type="cellIs" priority="1157" operator="equal" dxfId="1">
      <formula>"L"</formula>
    </cfRule>
    <cfRule type="cellIs" priority="1158" operator="equal" dxfId="2">
      <formula>"D"</formula>
    </cfRule>
  </conditionalFormatting>
  <conditionalFormatting sqref="L16">
    <cfRule type="cellIs" priority="1159" operator="equal" dxfId="0">
      <formula>"W"</formula>
    </cfRule>
    <cfRule type="cellIs" priority="1160" operator="equal" dxfId="1">
      <formula>"L"</formula>
    </cfRule>
    <cfRule type="cellIs" priority="1161" operator="equal" dxfId="2">
      <formula>"D"</formula>
    </cfRule>
  </conditionalFormatting>
  <conditionalFormatting sqref="M16">
    <cfRule type="cellIs" priority="1162" operator="equal" dxfId="0">
      <formula>"W"</formula>
    </cfRule>
    <cfRule type="cellIs" priority="1163" operator="equal" dxfId="1">
      <formula>"L"</formula>
    </cfRule>
    <cfRule type="cellIs" priority="1164" operator="equal" dxfId="2">
      <formula>"D"</formula>
    </cfRule>
  </conditionalFormatting>
  <conditionalFormatting sqref="N16">
    <cfRule type="cellIs" priority="1165" operator="equal" dxfId="0">
      <formula>"W"</formula>
    </cfRule>
    <cfRule type="cellIs" priority="1166" operator="equal" dxfId="1">
      <formula>"L"</formula>
    </cfRule>
    <cfRule type="cellIs" priority="1167" operator="equal" dxfId="2">
      <formula>"D"</formula>
    </cfRule>
  </conditionalFormatting>
  <conditionalFormatting sqref="O16">
    <cfRule type="cellIs" priority="1168" operator="equal" dxfId="0">
      <formula>"W"</formula>
    </cfRule>
    <cfRule type="cellIs" priority="1169" operator="equal" dxfId="1">
      <formula>"L"</formula>
    </cfRule>
    <cfRule type="cellIs" priority="1170" operator="equal" dxfId="2">
      <formula>"D"</formula>
    </cfRule>
  </conditionalFormatting>
  <conditionalFormatting sqref="Q16">
    <cfRule type="cellIs" priority="1171" operator="equal" dxfId="0">
      <formula>"W"</formula>
    </cfRule>
    <cfRule type="cellIs" priority="1172" operator="equal" dxfId="1">
      <formula>"L"</formula>
    </cfRule>
    <cfRule type="cellIs" priority="1173" operator="equal" dxfId="2">
      <formula>"D"</formula>
    </cfRule>
  </conditionalFormatting>
  <conditionalFormatting sqref="R16">
    <cfRule type="cellIs" priority="1174" operator="equal" dxfId="0">
      <formula>"W"</formula>
    </cfRule>
    <cfRule type="cellIs" priority="1175" operator="equal" dxfId="1">
      <formula>"L"</formula>
    </cfRule>
    <cfRule type="cellIs" priority="1176" operator="equal" dxfId="2">
      <formula>"D"</formula>
    </cfRule>
  </conditionalFormatting>
  <conditionalFormatting sqref="S16">
    <cfRule type="cellIs" priority="1177" operator="equal" dxfId="0">
      <formula>"W"</formula>
    </cfRule>
    <cfRule type="cellIs" priority="1178" operator="equal" dxfId="1">
      <formula>"L"</formula>
    </cfRule>
    <cfRule type="cellIs" priority="1179" operator="equal" dxfId="2">
      <formula>"D"</formula>
    </cfRule>
  </conditionalFormatting>
  <conditionalFormatting sqref="T16">
    <cfRule type="cellIs" priority="1180" operator="equal" dxfId="0">
      <formula>"W"</formula>
    </cfRule>
    <cfRule type="cellIs" priority="1181" operator="equal" dxfId="1">
      <formula>"L"</formula>
    </cfRule>
    <cfRule type="cellIs" priority="1182" operator="equal" dxfId="2">
      <formula>"D"</formula>
    </cfRule>
  </conditionalFormatting>
  <conditionalFormatting sqref="U16">
    <cfRule type="cellIs" priority="1183" operator="equal" dxfId="0">
      <formula>"W"</formula>
    </cfRule>
    <cfRule type="cellIs" priority="1184" operator="equal" dxfId="1">
      <formula>"L"</formula>
    </cfRule>
    <cfRule type="cellIs" priority="1185" operator="equal" dxfId="2">
      <formula>"D"</formula>
    </cfRule>
  </conditionalFormatting>
  <conditionalFormatting sqref="V16">
    <cfRule type="cellIs" priority="1186" operator="equal" dxfId="0">
      <formula>"W"</formula>
    </cfRule>
    <cfRule type="cellIs" priority="1187" operator="equal" dxfId="1">
      <formula>"L"</formula>
    </cfRule>
    <cfRule type="cellIs" priority="1188" operator="equal" dxfId="2">
      <formula>"D"</formula>
    </cfRule>
  </conditionalFormatting>
  <conditionalFormatting sqref="W16">
    <cfRule type="cellIs" priority="1189" operator="equal" dxfId="0">
      <formula>"W"</formula>
    </cfRule>
    <cfRule type="cellIs" priority="1190" operator="equal" dxfId="1">
      <formula>"L"</formula>
    </cfRule>
    <cfRule type="cellIs" priority="1191" operator="equal" dxfId="2">
      <formula>"D"</formula>
    </cfRule>
  </conditionalFormatting>
  <conditionalFormatting sqref="X16">
    <cfRule type="cellIs" priority="1192" operator="equal" dxfId="0">
      <formula>"W"</formula>
    </cfRule>
    <cfRule type="cellIs" priority="1193" operator="equal" dxfId="1">
      <formula>"L"</formula>
    </cfRule>
    <cfRule type="cellIs" priority="1194" operator="equal" dxfId="2">
      <formula>"D"</formula>
    </cfRule>
  </conditionalFormatting>
  <conditionalFormatting sqref="Y16">
    <cfRule type="cellIs" priority="1195" operator="equal" dxfId="0">
      <formula>"W"</formula>
    </cfRule>
    <cfRule type="cellIs" priority="1196" operator="equal" dxfId="1">
      <formula>"L"</formula>
    </cfRule>
    <cfRule type="cellIs" priority="1197" operator="equal" dxfId="2">
      <formula>"D"</formula>
    </cfRule>
  </conditionalFormatting>
  <conditionalFormatting sqref="Z16">
    <cfRule type="cellIs" priority="1198" operator="equal" dxfId="0">
      <formula>"W"</formula>
    </cfRule>
    <cfRule type="cellIs" priority="1199" operator="equal" dxfId="1">
      <formula>"L"</formula>
    </cfRule>
    <cfRule type="cellIs" priority="1200" operator="equal" dxfId="2">
      <formula>"D"</formula>
    </cfRule>
  </conditionalFormatting>
  <conditionalFormatting sqref="AA16">
    <cfRule type="cellIs" priority="1201" operator="equal" dxfId="0">
      <formula>"W"</formula>
    </cfRule>
    <cfRule type="cellIs" priority="1202" operator="equal" dxfId="1">
      <formula>"L"</formula>
    </cfRule>
    <cfRule type="cellIs" priority="1203" operator="equal" dxfId="2">
      <formula>"D"</formula>
    </cfRule>
  </conditionalFormatting>
  <conditionalFormatting sqref="AB16">
    <cfRule type="cellIs" priority="1204" operator="equal" dxfId="0">
      <formula>"W"</formula>
    </cfRule>
    <cfRule type="cellIs" priority="1205" operator="equal" dxfId="1">
      <formula>"L"</formula>
    </cfRule>
    <cfRule type="cellIs" priority="1206" operator="equal" dxfId="2">
      <formula>"D"</formula>
    </cfRule>
  </conditionalFormatting>
  <conditionalFormatting sqref="AC16">
    <cfRule type="cellIs" priority="1207" operator="equal" dxfId="0">
      <formula>"W"</formula>
    </cfRule>
    <cfRule type="cellIs" priority="1208" operator="equal" dxfId="1">
      <formula>"L"</formula>
    </cfRule>
    <cfRule type="cellIs" priority="1209" operator="equal" dxfId="2">
      <formula>"D"</formula>
    </cfRule>
  </conditionalFormatting>
  <conditionalFormatting sqref="AD16">
    <cfRule type="cellIs" priority="1210" operator="equal" dxfId="0">
      <formula>"W"</formula>
    </cfRule>
    <cfRule type="cellIs" priority="1211" operator="equal" dxfId="1">
      <formula>"L"</formula>
    </cfRule>
    <cfRule type="cellIs" priority="1212" operator="equal" dxfId="2">
      <formula>"D"</formula>
    </cfRule>
  </conditionalFormatting>
  <conditionalFormatting sqref="AE16">
    <cfRule type="cellIs" priority="1213" operator="equal" dxfId="0">
      <formula>"W"</formula>
    </cfRule>
    <cfRule type="cellIs" priority="1214" operator="equal" dxfId="1">
      <formula>"L"</formula>
    </cfRule>
    <cfRule type="cellIs" priority="1215" operator="equal" dxfId="2">
      <formula>"D"</formula>
    </cfRule>
  </conditionalFormatting>
  <conditionalFormatting sqref="AF16">
    <cfRule type="cellIs" priority="1216" operator="equal" dxfId="0">
      <formula>"W"</formula>
    </cfRule>
    <cfRule type="cellIs" priority="1217" operator="equal" dxfId="1">
      <formula>"L"</formula>
    </cfRule>
    <cfRule type="cellIs" priority="1218" operator="equal" dxfId="2">
      <formula>"D"</formula>
    </cfRule>
  </conditionalFormatting>
  <conditionalFormatting sqref="C17">
    <cfRule type="cellIs" priority="1219" operator="equal" dxfId="0">
      <formula>"W"</formula>
    </cfRule>
    <cfRule type="cellIs" priority="1220" operator="equal" dxfId="1">
      <formula>"L"</formula>
    </cfRule>
    <cfRule type="cellIs" priority="1221" operator="equal" dxfId="2">
      <formula>"D"</formula>
    </cfRule>
  </conditionalFormatting>
  <conditionalFormatting sqref="D17">
    <cfRule type="cellIs" priority="1222" operator="equal" dxfId="0">
      <formula>"W"</formula>
    </cfRule>
    <cfRule type="cellIs" priority="1223" operator="equal" dxfId="1">
      <formula>"L"</formula>
    </cfRule>
    <cfRule type="cellIs" priority="1224" operator="equal" dxfId="2">
      <formula>"D"</formula>
    </cfRule>
  </conditionalFormatting>
  <conditionalFormatting sqref="E17">
    <cfRule type="cellIs" priority="1225" operator="equal" dxfId="0">
      <formula>"W"</formula>
    </cfRule>
    <cfRule type="cellIs" priority="1226" operator="equal" dxfId="1">
      <formula>"L"</formula>
    </cfRule>
    <cfRule type="cellIs" priority="1227" operator="equal" dxfId="2">
      <formula>"D"</formula>
    </cfRule>
  </conditionalFormatting>
  <conditionalFormatting sqref="F17">
    <cfRule type="cellIs" priority="1228" operator="equal" dxfId="0">
      <formula>"W"</formula>
    </cfRule>
    <cfRule type="cellIs" priority="1229" operator="equal" dxfId="1">
      <formula>"L"</formula>
    </cfRule>
    <cfRule type="cellIs" priority="1230" operator="equal" dxfId="2">
      <formula>"D"</formula>
    </cfRule>
  </conditionalFormatting>
  <conditionalFormatting sqref="G17">
    <cfRule type="cellIs" priority="1231" operator="equal" dxfId="0">
      <formula>"W"</formula>
    </cfRule>
    <cfRule type="cellIs" priority="1232" operator="equal" dxfId="1">
      <formula>"L"</formula>
    </cfRule>
    <cfRule type="cellIs" priority="1233" operator="equal" dxfId="2">
      <formula>"D"</formula>
    </cfRule>
  </conditionalFormatting>
  <conditionalFormatting sqref="H17">
    <cfRule type="cellIs" priority="1234" operator="equal" dxfId="0">
      <formula>"W"</formula>
    </cfRule>
    <cfRule type="cellIs" priority="1235" operator="equal" dxfId="1">
      <formula>"L"</formula>
    </cfRule>
    <cfRule type="cellIs" priority="1236" operator="equal" dxfId="2">
      <formula>"D"</formula>
    </cfRule>
  </conditionalFormatting>
  <conditionalFormatting sqref="I17">
    <cfRule type="cellIs" priority="1237" operator="equal" dxfId="0">
      <formula>"W"</formula>
    </cfRule>
    <cfRule type="cellIs" priority="1238" operator="equal" dxfId="1">
      <formula>"L"</formula>
    </cfRule>
    <cfRule type="cellIs" priority="1239" operator="equal" dxfId="2">
      <formula>"D"</formula>
    </cfRule>
  </conditionalFormatting>
  <conditionalFormatting sqref="J17">
    <cfRule type="cellIs" priority="1240" operator="equal" dxfId="0">
      <formula>"W"</formula>
    </cfRule>
    <cfRule type="cellIs" priority="1241" operator="equal" dxfId="1">
      <formula>"L"</formula>
    </cfRule>
    <cfRule type="cellIs" priority="1242" operator="equal" dxfId="2">
      <formula>"D"</formula>
    </cfRule>
  </conditionalFormatting>
  <conditionalFormatting sqref="K17">
    <cfRule type="cellIs" priority="1243" operator="equal" dxfId="0">
      <formula>"W"</formula>
    </cfRule>
    <cfRule type="cellIs" priority="1244" operator="equal" dxfId="1">
      <formula>"L"</formula>
    </cfRule>
    <cfRule type="cellIs" priority="1245" operator="equal" dxfId="2">
      <formula>"D"</formula>
    </cfRule>
  </conditionalFormatting>
  <conditionalFormatting sqref="L17">
    <cfRule type="cellIs" priority="1246" operator="equal" dxfId="0">
      <formula>"W"</formula>
    </cfRule>
    <cfRule type="cellIs" priority="1247" operator="equal" dxfId="1">
      <formula>"L"</formula>
    </cfRule>
    <cfRule type="cellIs" priority="1248" operator="equal" dxfId="2">
      <formula>"D"</formula>
    </cfRule>
  </conditionalFormatting>
  <conditionalFormatting sqref="M17">
    <cfRule type="cellIs" priority="1249" operator="equal" dxfId="0">
      <formula>"W"</formula>
    </cfRule>
    <cfRule type="cellIs" priority="1250" operator="equal" dxfId="1">
      <formula>"L"</formula>
    </cfRule>
    <cfRule type="cellIs" priority="1251" operator="equal" dxfId="2">
      <formula>"D"</formula>
    </cfRule>
  </conditionalFormatting>
  <conditionalFormatting sqref="N17">
    <cfRule type="cellIs" priority="1252" operator="equal" dxfId="0">
      <formula>"W"</formula>
    </cfRule>
    <cfRule type="cellIs" priority="1253" operator="equal" dxfId="1">
      <formula>"L"</formula>
    </cfRule>
    <cfRule type="cellIs" priority="1254" operator="equal" dxfId="2">
      <formula>"D"</formula>
    </cfRule>
  </conditionalFormatting>
  <conditionalFormatting sqref="O17">
    <cfRule type="cellIs" priority="1255" operator="equal" dxfId="0">
      <formula>"W"</formula>
    </cfRule>
    <cfRule type="cellIs" priority="1256" operator="equal" dxfId="1">
      <formula>"L"</formula>
    </cfRule>
    <cfRule type="cellIs" priority="1257" operator="equal" dxfId="2">
      <formula>"D"</formula>
    </cfRule>
  </conditionalFormatting>
  <conditionalFormatting sqref="P17">
    <cfRule type="cellIs" priority="1258" operator="equal" dxfId="0">
      <formula>"W"</formula>
    </cfRule>
    <cfRule type="cellIs" priority="1259" operator="equal" dxfId="1">
      <formula>"L"</formula>
    </cfRule>
    <cfRule type="cellIs" priority="1260" operator="equal" dxfId="2">
      <formula>"D"</formula>
    </cfRule>
  </conditionalFormatting>
  <conditionalFormatting sqref="R17">
    <cfRule type="cellIs" priority="1261" operator="equal" dxfId="0">
      <formula>"W"</formula>
    </cfRule>
    <cfRule type="cellIs" priority="1262" operator="equal" dxfId="1">
      <formula>"L"</formula>
    </cfRule>
    <cfRule type="cellIs" priority="1263" operator="equal" dxfId="2">
      <formula>"D"</formula>
    </cfRule>
  </conditionalFormatting>
  <conditionalFormatting sqref="S17">
    <cfRule type="cellIs" priority="1264" operator="equal" dxfId="0">
      <formula>"W"</formula>
    </cfRule>
    <cfRule type="cellIs" priority="1265" operator="equal" dxfId="1">
      <formula>"L"</formula>
    </cfRule>
    <cfRule type="cellIs" priority="1266" operator="equal" dxfId="2">
      <formula>"D"</formula>
    </cfRule>
  </conditionalFormatting>
  <conditionalFormatting sqref="T17">
    <cfRule type="cellIs" priority="1267" operator="equal" dxfId="0">
      <formula>"W"</formula>
    </cfRule>
    <cfRule type="cellIs" priority="1268" operator="equal" dxfId="1">
      <formula>"L"</formula>
    </cfRule>
    <cfRule type="cellIs" priority="1269" operator="equal" dxfId="2">
      <formula>"D"</formula>
    </cfRule>
  </conditionalFormatting>
  <conditionalFormatting sqref="U17">
    <cfRule type="cellIs" priority="1270" operator="equal" dxfId="0">
      <formula>"W"</formula>
    </cfRule>
    <cfRule type="cellIs" priority="1271" operator="equal" dxfId="1">
      <formula>"L"</formula>
    </cfRule>
    <cfRule type="cellIs" priority="1272" operator="equal" dxfId="2">
      <formula>"D"</formula>
    </cfRule>
  </conditionalFormatting>
  <conditionalFormatting sqref="V17">
    <cfRule type="cellIs" priority="1273" operator="equal" dxfId="0">
      <formula>"W"</formula>
    </cfRule>
    <cfRule type="cellIs" priority="1274" operator="equal" dxfId="1">
      <formula>"L"</formula>
    </cfRule>
    <cfRule type="cellIs" priority="1275" operator="equal" dxfId="2">
      <formula>"D"</formula>
    </cfRule>
  </conditionalFormatting>
  <conditionalFormatting sqref="W17">
    <cfRule type="cellIs" priority="1276" operator="equal" dxfId="0">
      <formula>"W"</formula>
    </cfRule>
    <cfRule type="cellIs" priority="1277" operator="equal" dxfId="1">
      <formula>"L"</formula>
    </cfRule>
    <cfRule type="cellIs" priority="1278" operator="equal" dxfId="2">
      <formula>"D"</formula>
    </cfRule>
  </conditionalFormatting>
  <conditionalFormatting sqref="X17">
    <cfRule type="cellIs" priority="1279" operator="equal" dxfId="0">
      <formula>"W"</formula>
    </cfRule>
    <cfRule type="cellIs" priority="1280" operator="equal" dxfId="1">
      <formula>"L"</formula>
    </cfRule>
    <cfRule type="cellIs" priority="1281" operator="equal" dxfId="2">
      <formula>"D"</formula>
    </cfRule>
  </conditionalFormatting>
  <conditionalFormatting sqref="Y17">
    <cfRule type="cellIs" priority="1282" operator="equal" dxfId="0">
      <formula>"W"</formula>
    </cfRule>
    <cfRule type="cellIs" priority="1283" operator="equal" dxfId="1">
      <formula>"L"</formula>
    </cfRule>
    <cfRule type="cellIs" priority="1284" operator="equal" dxfId="2">
      <formula>"D"</formula>
    </cfRule>
  </conditionalFormatting>
  <conditionalFormatting sqref="Z17">
    <cfRule type="cellIs" priority="1285" operator="equal" dxfId="0">
      <formula>"W"</formula>
    </cfRule>
    <cfRule type="cellIs" priority="1286" operator="equal" dxfId="1">
      <formula>"L"</formula>
    </cfRule>
    <cfRule type="cellIs" priority="1287" operator="equal" dxfId="2">
      <formula>"D"</formula>
    </cfRule>
  </conditionalFormatting>
  <conditionalFormatting sqref="AA17">
    <cfRule type="cellIs" priority="1288" operator="equal" dxfId="0">
      <formula>"W"</formula>
    </cfRule>
    <cfRule type="cellIs" priority="1289" operator="equal" dxfId="1">
      <formula>"L"</formula>
    </cfRule>
    <cfRule type="cellIs" priority="1290" operator="equal" dxfId="2">
      <formula>"D"</formula>
    </cfRule>
  </conditionalFormatting>
  <conditionalFormatting sqref="AB17">
    <cfRule type="cellIs" priority="1291" operator="equal" dxfId="0">
      <formula>"W"</formula>
    </cfRule>
    <cfRule type="cellIs" priority="1292" operator="equal" dxfId="1">
      <formula>"L"</formula>
    </cfRule>
    <cfRule type="cellIs" priority="1293" operator="equal" dxfId="2">
      <formula>"D"</formula>
    </cfRule>
  </conditionalFormatting>
  <conditionalFormatting sqref="AC17">
    <cfRule type="cellIs" priority="1294" operator="equal" dxfId="0">
      <formula>"W"</formula>
    </cfRule>
    <cfRule type="cellIs" priority="1295" operator="equal" dxfId="1">
      <formula>"L"</formula>
    </cfRule>
    <cfRule type="cellIs" priority="1296" operator="equal" dxfId="2">
      <formula>"D"</formula>
    </cfRule>
  </conditionalFormatting>
  <conditionalFormatting sqref="AD17">
    <cfRule type="cellIs" priority="1297" operator="equal" dxfId="0">
      <formula>"W"</formula>
    </cfRule>
    <cfRule type="cellIs" priority="1298" operator="equal" dxfId="1">
      <formula>"L"</formula>
    </cfRule>
    <cfRule type="cellIs" priority="1299" operator="equal" dxfId="2">
      <formula>"D"</formula>
    </cfRule>
  </conditionalFormatting>
  <conditionalFormatting sqref="AE17">
    <cfRule type="cellIs" priority="1300" operator="equal" dxfId="0">
      <formula>"W"</formula>
    </cfRule>
    <cfRule type="cellIs" priority="1301" operator="equal" dxfId="1">
      <formula>"L"</formula>
    </cfRule>
    <cfRule type="cellIs" priority="1302" operator="equal" dxfId="2">
      <formula>"D"</formula>
    </cfRule>
  </conditionalFormatting>
  <conditionalFormatting sqref="AF17">
    <cfRule type="cellIs" priority="1303" operator="equal" dxfId="0">
      <formula>"W"</formula>
    </cfRule>
    <cfRule type="cellIs" priority="1304" operator="equal" dxfId="1">
      <formula>"L"</formula>
    </cfRule>
    <cfRule type="cellIs" priority="1305" operator="equal" dxfId="2">
      <formula>"D"</formula>
    </cfRule>
  </conditionalFormatting>
  <conditionalFormatting sqref="C18">
    <cfRule type="cellIs" priority="1306" operator="equal" dxfId="0">
      <formula>"W"</formula>
    </cfRule>
    <cfRule type="cellIs" priority="1307" operator="equal" dxfId="1">
      <formula>"L"</formula>
    </cfRule>
    <cfRule type="cellIs" priority="1308" operator="equal" dxfId="2">
      <formula>"D"</formula>
    </cfRule>
  </conditionalFormatting>
  <conditionalFormatting sqref="D18">
    <cfRule type="cellIs" priority="1309" operator="equal" dxfId="0">
      <formula>"W"</formula>
    </cfRule>
    <cfRule type="cellIs" priority="1310" operator="equal" dxfId="1">
      <formula>"L"</formula>
    </cfRule>
    <cfRule type="cellIs" priority="1311" operator="equal" dxfId="2">
      <formula>"D"</formula>
    </cfRule>
  </conditionalFormatting>
  <conditionalFormatting sqref="E18">
    <cfRule type="cellIs" priority="1312" operator="equal" dxfId="0">
      <formula>"W"</formula>
    </cfRule>
    <cfRule type="cellIs" priority="1313" operator="equal" dxfId="1">
      <formula>"L"</formula>
    </cfRule>
    <cfRule type="cellIs" priority="1314" operator="equal" dxfId="2">
      <formula>"D"</formula>
    </cfRule>
  </conditionalFormatting>
  <conditionalFormatting sqref="F18">
    <cfRule type="cellIs" priority="1315" operator="equal" dxfId="0">
      <formula>"W"</formula>
    </cfRule>
    <cfRule type="cellIs" priority="1316" operator="equal" dxfId="1">
      <formula>"L"</formula>
    </cfRule>
    <cfRule type="cellIs" priority="1317" operator="equal" dxfId="2">
      <formula>"D"</formula>
    </cfRule>
  </conditionalFormatting>
  <conditionalFormatting sqref="G18">
    <cfRule type="cellIs" priority="1318" operator="equal" dxfId="0">
      <formula>"W"</formula>
    </cfRule>
    <cfRule type="cellIs" priority="1319" operator="equal" dxfId="1">
      <formula>"L"</formula>
    </cfRule>
    <cfRule type="cellIs" priority="1320" operator="equal" dxfId="2">
      <formula>"D"</formula>
    </cfRule>
  </conditionalFormatting>
  <conditionalFormatting sqref="H18">
    <cfRule type="cellIs" priority="1321" operator="equal" dxfId="0">
      <formula>"W"</formula>
    </cfRule>
    <cfRule type="cellIs" priority="1322" operator="equal" dxfId="1">
      <formula>"L"</formula>
    </cfRule>
    <cfRule type="cellIs" priority="1323" operator="equal" dxfId="2">
      <formula>"D"</formula>
    </cfRule>
  </conditionalFormatting>
  <conditionalFormatting sqref="I18">
    <cfRule type="cellIs" priority="1324" operator="equal" dxfId="0">
      <formula>"W"</formula>
    </cfRule>
    <cfRule type="cellIs" priority="1325" operator="equal" dxfId="1">
      <formula>"L"</formula>
    </cfRule>
    <cfRule type="cellIs" priority="1326" operator="equal" dxfId="2">
      <formula>"D"</formula>
    </cfRule>
  </conditionalFormatting>
  <conditionalFormatting sqref="J18">
    <cfRule type="cellIs" priority="1327" operator="equal" dxfId="0">
      <formula>"W"</formula>
    </cfRule>
    <cfRule type="cellIs" priority="1328" operator="equal" dxfId="1">
      <formula>"L"</formula>
    </cfRule>
    <cfRule type="cellIs" priority="1329" operator="equal" dxfId="2">
      <formula>"D"</formula>
    </cfRule>
  </conditionalFormatting>
  <conditionalFormatting sqref="K18">
    <cfRule type="cellIs" priority="1330" operator="equal" dxfId="0">
      <formula>"W"</formula>
    </cfRule>
    <cfRule type="cellIs" priority="1331" operator="equal" dxfId="1">
      <formula>"L"</formula>
    </cfRule>
    <cfRule type="cellIs" priority="1332" operator="equal" dxfId="2">
      <formula>"D"</formula>
    </cfRule>
  </conditionalFormatting>
  <conditionalFormatting sqref="L18">
    <cfRule type="cellIs" priority="1333" operator="equal" dxfId="0">
      <formula>"W"</formula>
    </cfRule>
    <cfRule type="cellIs" priority="1334" operator="equal" dxfId="1">
      <formula>"L"</formula>
    </cfRule>
    <cfRule type="cellIs" priority="1335" operator="equal" dxfId="2">
      <formula>"D"</formula>
    </cfRule>
  </conditionalFormatting>
  <conditionalFormatting sqref="M18">
    <cfRule type="cellIs" priority="1336" operator="equal" dxfId="0">
      <formula>"W"</formula>
    </cfRule>
    <cfRule type="cellIs" priority="1337" operator="equal" dxfId="1">
      <formula>"L"</formula>
    </cfRule>
    <cfRule type="cellIs" priority="1338" operator="equal" dxfId="2">
      <formula>"D"</formula>
    </cfRule>
  </conditionalFormatting>
  <conditionalFormatting sqref="N18">
    <cfRule type="cellIs" priority="1339" operator="equal" dxfId="0">
      <formula>"W"</formula>
    </cfRule>
    <cfRule type="cellIs" priority="1340" operator="equal" dxfId="1">
      <formula>"L"</formula>
    </cfRule>
    <cfRule type="cellIs" priority="1341" operator="equal" dxfId="2">
      <formula>"D"</formula>
    </cfRule>
  </conditionalFormatting>
  <conditionalFormatting sqref="O18">
    <cfRule type="cellIs" priority="1342" operator="equal" dxfId="0">
      <formula>"W"</formula>
    </cfRule>
    <cfRule type="cellIs" priority="1343" operator="equal" dxfId="1">
      <formula>"L"</formula>
    </cfRule>
    <cfRule type="cellIs" priority="1344" operator="equal" dxfId="2">
      <formula>"D"</formula>
    </cfRule>
  </conditionalFormatting>
  <conditionalFormatting sqref="P18">
    <cfRule type="cellIs" priority="1345" operator="equal" dxfId="0">
      <formula>"W"</formula>
    </cfRule>
    <cfRule type="cellIs" priority="1346" operator="equal" dxfId="1">
      <formula>"L"</formula>
    </cfRule>
    <cfRule type="cellIs" priority="1347" operator="equal" dxfId="2">
      <formula>"D"</formula>
    </cfRule>
  </conditionalFormatting>
  <conditionalFormatting sqref="Q18">
    <cfRule type="cellIs" priority="1348" operator="equal" dxfId="0">
      <formula>"W"</formula>
    </cfRule>
    <cfRule type="cellIs" priority="1349" operator="equal" dxfId="1">
      <formula>"L"</formula>
    </cfRule>
    <cfRule type="cellIs" priority="1350" operator="equal" dxfId="2">
      <formula>"D"</formula>
    </cfRule>
  </conditionalFormatting>
  <conditionalFormatting sqref="S18">
    <cfRule type="cellIs" priority="1351" operator="equal" dxfId="0">
      <formula>"W"</formula>
    </cfRule>
    <cfRule type="cellIs" priority="1352" operator="equal" dxfId="1">
      <formula>"L"</formula>
    </cfRule>
    <cfRule type="cellIs" priority="1353" operator="equal" dxfId="2">
      <formula>"D"</formula>
    </cfRule>
  </conditionalFormatting>
  <conditionalFormatting sqref="T18">
    <cfRule type="cellIs" priority="1354" operator="equal" dxfId="0">
      <formula>"W"</formula>
    </cfRule>
    <cfRule type="cellIs" priority="1355" operator="equal" dxfId="1">
      <formula>"L"</formula>
    </cfRule>
    <cfRule type="cellIs" priority="1356" operator="equal" dxfId="2">
      <formula>"D"</formula>
    </cfRule>
  </conditionalFormatting>
  <conditionalFormatting sqref="U18">
    <cfRule type="cellIs" priority="1357" operator="equal" dxfId="0">
      <formula>"W"</formula>
    </cfRule>
    <cfRule type="cellIs" priority="1358" operator="equal" dxfId="1">
      <formula>"L"</formula>
    </cfRule>
    <cfRule type="cellIs" priority="1359" operator="equal" dxfId="2">
      <formula>"D"</formula>
    </cfRule>
  </conditionalFormatting>
  <conditionalFormatting sqref="V18">
    <cfRule type="cellIs" priority="1360" operator="equal" dxfId="0">
      <formula>"W"</formula>
    </cfRule>
    <cfRule type="cellIs" priority="1361" operator="equal" dxfId="1">
      <formula>"L"</formula>
    </cfRule>
    <cfRule type="cellIs" priority="1362" operator="equal" dxfId="2">
      <formula>"D"</formula>
    </cfRule>
  </conditionalFormatting>
  <conditionalFormatting sqref="W18">
    <cfRule type="cellIs" priority="1363" operator="equal" dxfId="0">
      <formula>"W"</formula>
    </cfRule>
    <cfRule type="cellIs" priority="1364" operator="equal" dxfId="1">
      <formula>"L"</formula>
    </cfRule>
    <cfRule type="cellIs" priority="1365" operator="equal" dxfId="2">
      <formula>"D"</formula>
    </cfRule>
  </conditionalFormatting>
  <conditionalFormatting sqref="X18">
    <cfRule type="cellIs" priority="1366" operator="equal" dxfId="0">
      <formula>"W"</formula>
    </cfRule>
    <cfRule type="cellIs" priority="1367" operator="equal" dxfId="1">
      <formula>"L"</formula>
    </cfRule>
    <cfRule type="cellIs" priority="1368" operator="equal" dxfId="2">
      <formula>"D"</formula>
    </cfRule>
  </conditionalFormatting>
  <conditionalFormatting sqref="Y18">
    <cfRule type="cellIs" priority="1369" operator="equal" dxfId="0">
      <formula>"W"</formula>
    </cfRule>
    <cfRule type="cellIs" priority="1370" operator="equal" dxfId="1">
      <formula>"L"</formula>
    </cfRule>
    <cfRule type="cellIs" priority="1371" operator="equal" dxfId="2">
      <formula>"D"</formula>
    </cfRule>
  </conditionalFormatting>
  <conditionalFormatting sqref="Z18">
    <cfRule type="cellIs" priority="1372" operator="equal" dxfId="0">
      <formula>"W"</formula>
    </cfRule>
    <cfRule type="cellIs" priority="1373" operator="equal" dxfId="1">
      <formula>"L"</formula>
    </cfRule>
    <cfRule type="cellIs" priority="1374" operator="equal" dxfId="2">
      <formula>"D"</formula>
    </cfRule>
  </conditionalFormatting>
  <conditionalFormatting sqref="AA18">
    <cfRule type="cellIs" priority="1375" operator="equal" dxfId="0">
      <formula>"W"</formula>
    </cfRule>
    <cfRule type="cellIs" priority="1376" operator="equal" dxfId="1">
      <formula>"L"</formula>
    </cfRule>
    <cfRule type="cellIs" priority="1377" operator="equal" dxfId="2">
      <formula>"D"</formula>
    </cfRule>
  </conditionalFormatting>
  <conditionalFormatting sqref="AB18">
    <cfRule type="cellIs" priority="1378" operator="equal" dxfId="0">
      <formula>"W"</formula>
    </cfRule>
    <cfRule type="cellIs" priority="1379" operator="equal" dxfId="1">
      <formula>"L"</formula>
    </cfRule>
    <cfRule type="cellIs" priority="1380" operator="equal" dxfId="2">
      <formula>"D"</formula>
    </cfRule>
  </conditionalFormatting>
  <conditionalFormatting sqref="AC18">
    <cfRule type="cellIs" priority="1381" operator="equal" dxfId="0">
      <formula>"W"</formula>
    </cfRule>
    <cfRule type="cellIs" priority="1382" operator="equal" dxfId="1">
      <formula>"L"</formula>
    </cfRule>
    <cfRule type="cellIs" priority="1383" operator="equal" dxfId="2">
      <formula>"D"</formula>
    </cfRule>
  </conditionalFormatting>
  <conditionalFormatting sqref="AD18">
    <cfRule type="cellIs" priority="1384" operator="equal" dxfId="0">
      <formula>"W"</formula>
    </cfRule>
    <cfRule type="cellIs" priority="1385" operator="equal" dxfId="1">
      <formula>"L"</formula>
    </cfRule>
    <cfRule type="cellIs" priority="1386" operator="equal" dxfId="2">
      <formula>"D"</formula>
    </cfRule>
  </conditionalFormatting>
  <conditionalFormatting sqref="AE18">
    <cfRule type="cellIs" priority="1387" operator="equal" dxfId="0">
      <formula>"W"</formula>
    </cfRule>
    <cfRule type="cellIs" priority="1388" operator="equal" dxfId="1">
      <formula>"L"</formula>
    </cfRule>
    <cfRule type="cellIs" priority="1389" operator="equal" dxfId="2">
      <formula>"D"</formula>
    </cfRule>
  </conditionalFormatting>
  <conditionalFormatting sqref="AF18">
    <cfRule type="cellIs" priority="1390" operator="equal" dxfId="0">
      <formula>"W"</formula>
    </cfRule>
    <cfRule type="cellIs" priority="1391" operator="equal" dxfId="1">
      <formula>"L"</formula>
    </cfRule>
    <cfRule type="cellIs" priority="1392" operator="equal" dxfId="2">
      <formula>"D"</formula>
    </cfRule>
  </conditionalFormatting>
  <conditionalFormatting sqref="C19">
    <cfRule type="cellIs" priority="1393" operator="equal" dxfId="0">
      <formula>"W"</formula>
    </cfRule>
    <cfRule type="cellIs" priority="1394" operator="equal" dxfId="1">
      <formula>"L"</formula>
    </cfRule>
    <cfRule type="cellIs" priority="1395" operator="equal" dxfId="2">
      <formula>"D"</formula>
    </cfRule>
  </conditionalFormatting>
  <conditionalFormatting sqref="D19">
    <cfRule type="cellIs" priority="1396" operator="equal" dxfId="0">
      <formula>"W"</formula>
    </cfRule>
    <cfRule type="cellIs" priority="1397" operator="equal" dxfId="1">
      <formula>"L"</formula>
    </cfRule>
    <cfRule type="cellIs" priority="1398" operator="equal" dxfId="2">
      <formula>"D"</formula>
    </cfRule>
  </conditionalFormatting>
  <conditionalFormatting sqref="E19">
    <cfRule type="cellIs" priority="1399" operator="equal" dxfId="0">
      <formula>"W"</formula>
    </cfRule>
    <cfRule type="cellIs" priority="1400" operator="equal" dxfId="1">
      <formula>"L"</formula>
    </cfRule>
    <cfRule type="cellIs" priority="1401" operator="equal" dxfId="2">
      <formula>"D"</formula>
    </cfRule>
  </conditionalFormatting>
  <conditionalFormatting sqref="F19">
    <cfRule type="cellIs" priority="1402" operator="equal" dxfId="0">
      <formula>"W"</formula>
    </cfRule>
    <cfRule type="cellIs" priority="1403" operator="equal" dxfId="1">
      <formula>"L"</formula>
    </cfRule>
    <cfRule type="cellIs" priority="1404" operator="equal" dxfId="2">
      <formula>"D"</formula>
    </cfRule>
  </conditionalFormatting>
  <conditionalFormatting sqref="G19">
    <cfRule type="cellIs" priority="1405" operator="equal" dxfId="0">
      <formula>"W"</formula>
    </cfRule>
    <cfRule type="cellIs" priority="1406" operator="equal" dxfId="1">
      <formula>"L"</formula>
    </cfRule>
    <cfRule type="cellIs" priority="1407" operator="equal" dxfId="2">
      <formula>"D"</formula>
    </cfRule>
  </conditionalFormatting>
  <conditionalFormatting sqref="H19">
    <cfRule type="cellIs" priority="1408" operator="equal" dxfId="0">
      <formula>"W"</formula>
    </cfRule>
    <cfRule type="cellIs" priority="1409" operator="equal" dxfId="1">
      <formula>"L"</formula>
    </cfRule>
    <cfRule type="cellIs" priority="1410" operator="equal" dxfId="2">
      <formula>"D"</formula>
    </cfRule>
  </conditionalFormatting>
  <conditionalFormatting sqref="I19">
    <cfRule type="cellIs" priority="1411" operator="equal" dxfId="0">
      <formula>"W"</formula>
    </cfRule>
    <cfRule type="cellIs" priority="1412" operator="equal" dxfId="1">
      <formula>"L"</formula>
    </cfRule>
    <cfRule type="cellIs" priority="1413" operator="equal" dxfId="2">
      <formula>"D"</formula>
    </cfRule>
  </conditionalFormatting>
  <conditionalFormatting sqref="J19">
    <cfRule type="cellIs" priority="1414" operator="equal" dxfId="0">
      <formula>"W"</formula>
    </cfRule>
    <cfRule type="cellIs" priority="1415" operator="equal" dxfId="1">
      <formula>"L"</formula>
    </cfRule>
    <cfRule type="cellIs" priority="1416" operator="equal" dxfId="2">
      <formula>"D"</formula>
    </cfRule>
  </conditionalFormatting>
  <conditionalFormatting sqref="K19">
    <cfRule type="cellIs" priority="1417" operator="equal" dxfId="0">
      <formula>"W"</formula>
    </cfRule>
    <cfRule type="cellIs" priority="1418" operator="equal" dxfId="1">
      <formula>"L"</formula>
    </cfRule>
    <cfRule type="cellIs" priority="1419" operator="equal" dxfId="2">
      <formula>"D"</formula>
    </cfRule>
  </conditionalFormatting>
  <conditionalFormatting sqref="L19">
    <cfRule type="cellIs" priority="1420" operator="equal" dxfId="0">
      <formula>"W"</formula>
    </cfRule>
    <cfRule type="cellIs" priority="1421" operator="equal" dxfId="1">
      <formula>"L"</formula>
    </cfRule>
    <cfRule type="cellIs" priority="1422" operator="equal" dxfId="2">
      <formula>"D"</formula>
    </cfRule>
  </conditionalFormatting>
  <conditionalFormatting sqref="M19">
    <cfRule type="cellIs" priority="1423" operator="equal" dxfId="0">
      <formula>"W"</formula>
    </cfRule>
    <cfRule type="cellIs" priority="1424" operator="equal" dxfId="1">
      <formula>"L"</formula>
    </cfRule>
    <cfRule type="cellIs" priority="1425" operator="equal" dxfId="2">
      <formula>"D"</formula>
    </cfRule>
  </conditionalFormatting>
  <conditionalFormatting sqref="N19">
    <cfRule type="cellIs" priority="1426" operator="equal" dxfId="0">
      <formula>"W"</formula>
    </cfRule>
    <cfRule type="cellIs" priority="1427" operator="equal" dxfId="1">
      <formula>"L"</formula>
    </cfRule>
    <cfRule type="cellIs" priority="1428" operator="equal" dxfId="2">
      <formula>"D"</formula>
    </cfRule>
  </conditionalFormatting>
  <conditionalFormatting sqref="O19">
    <cfRule type="cellIs" priority="1429" operator="equal" dxfId="0">
      <formula>"W"</formula>
    </cfRule>
    <cfRule type="cellIs" priority="1430" operator="equal" dxfId="1">
      <formula>"L"</formula>
    </cfRule>
    <cfRule type="cellIs" priority="1431" operator="equal" dxfId="2">
      <formula>"D"</formula>
    </cfRule>
  </conditionalFormatting>
  <conditionalFormatting sqref="P19">
    <cfRule type="cellIs" priority="1432" operator="equal" dxfId="0">
      <formula>"W"</formula>
    </cfRule>
    <cfRule type="cellIs" priority="1433" operator="equal" dxfId="1">
      <formula>"L"</formula>
    </cfRule>
    <cfRule type="cellIs" priority="1434" operator="equal" dxfId="2">
      <formula>"D"</formula>
    </cfRule>
  </conditionalFormatting>
  <conditionalFormatting sqref="Q19">
    <cfRule type="cellIs" priority="1435" operator="equal" dxfId="0">
      <formula>"W"</formula>
    </cfRule>
    <cfRule type="cellIs" priority="1436" operator="equal" dxfId="1">
      <formula>"L"</formula>
    </cfRule>
    <cfRule type="cellIs" priority="1437" operator="equal" dxfId="2">
      <formula>"D"</formula>
    </cfRule>
  </conditionalFormatting>
  <conditionalFormatting sqref="R19">
    <cfRule type="cellIs" priority="1438" operator="equal" dxfId="0">
      <formula>"W"</formula>
    </cfRule>
    <cfRule type="cellIs" priority="1439" operator="equal" dxfId="1">
      <formula>"L"</formula>
    </cfRule>
    <cfRule type="cellIs" priority="1440" operator="equal" dxfId="2">
      <formula>"D"</formula>
    </cfRule>
  </conditionalFormatting>
  <conditionalFormatting sqref="T19">
    <cfRule type="cellIs" priority="1441" operator="equal" dxfId="0">
      <formula>"W"</formula>
    </cfRule>
    <cfRule type="cellIs" priority="1442" operator="equal" dxfId="1">
      <formula>"L"</formula>
    </cfRule>
    <cfRule type="cellIs" priority="1443" operator="equal" dxfId="2">
      <formula>"D"</formula>
    </cfRule>
  </conditionalFormatting>
  <conditionalFormatting sqref="U19">
    <cfRule type="cellIs" priority="1444" operator="equal" dxfId="0">
      <formula>"W"</formula>
    </cfRule>
    <cfRule type="cellIs" priority="1445" operator="equal" dxfId="1">
      <formula>"L"</formula>
    </cfRule>
    <cfRule type="cellIs" priority="1446" operator="equal" dxfId="2">
      <formula>"D"</formula>
    </cfRule>
  </conditionalFormatting>
  <conditionalFormatting sqref="V19">
    <cfRule type="cellIs" priority="1447" operator="equal" dxfId="0">
      <formula>"W"</formula>
    </cfRule>
    <cfRule type="cellIs" priority="1448" operator="equal" dxfId="1">
      <formula>"L"</formula>
    </cfRule>
    <cfRule type="cellIs" priority="1449" operator="equal" dxfId="2">
      <formula>"D"</formula>
    </cfRule>
  </conditionalFormatting>
  <conditionalFormatting sqref="W19">
    <cfRule type="cellIs" priority="1450" operator="equal" dxfId="0">
      <formula>"W"</formula>
    </cfRule>
    <cfRule type="cellIs" priority="1451" operator="equal" dxfId="1">
      <formula>"L"</formula>
    </cfRule>
    <cfRule type="cellIs" priority="1452" operator="equal" dxfId="2">
      <formula>"D"</formula>
    </cfRule>
  </conditionalFormatting>
  <conditionalFormatting sqref="X19">
    <cfRule type="cellIs" priority="1453" operator="equal" dxfId="0">
      <formula>"W"</formula>
    </cfRule>
    <cfRule type="cellIs" priority="1454" operator="equal" dxfId="1">
      <formula>"L"</formula>
    </cfRule>
    <cfRule type="cellIs" priority="1455" operator="equal" dxfId="2">
      <formula>"D"</formula>
    </cfRule>
  </conditionalFormatting>
  <conditionalFormatting sqref="Y19">
    <cfRule type="cellIs" priority="1456" operator="equal" dxfId="0">
      <formula>"W"</formula>
    </cfRule>
    <cfRule type="cellIs" priority="1457" operator="equal" dxfId="1">
      <formula>"L"</formula>
    </cfRule>
    <cfRule type="cellIs" priority="1458" operator="equal" dxfId="2">
      <formula>"D"</formula>
    </cfRule>
  </conditionalFormatting>
  <conditionalFormatting sqref="Z19">
    <cfRule type="cellIs" priority="1459" operator="equal" dxfId="0">
      <formula>"W"</formula>
    </cfRule>
    <cfRule type="cellIs" priority="1460" operator="equal" dxfId="1">
      <formula>"L"</formula>
    </cfRule>
    <cfRule type="cellIs" priority="1461" operator="equal" dxfId="2">
      <formula>"D"</formula>
    </cfRule>
  </conditionalFormatting>
  <conditionalFormatting sqref="AA19">
    <cfRule type="cellIs" priority="1462" operator="equal" dxfId="0">
      <formula>"W"</formula>
    </cfRule>
    <cfRule type="cellIs" priority="1463" operator="equal" dxfId="1">
      <formula>"L"</formula>
    </cfRule>
    <cfRule type="cellIs" priority="1464" operator="equal" dxfId="2">
      <formula>"D"</formula>
    </cfRule>
  </conditionalFormatting>
  <conditionalFormatting sqref="AB19">
    <cfRule type="cellIs" priority="1465" operator="equal" dxfId="0">
      <formula>"W"</formula>
    </cfRule>
    <cfRule type="cellIs" priority="1466" operator="equal" dxfId="1">
      <formula>"L"</formula>
    </cfRule>
    <cfRule type="cellIs" priority="1467" operator="equal" dxfId="2">
      <formula>"D"</formula>
    </cfRule>
  </conditionalFormatting>
  <conditionalFormatting sqref="AC19">
    <cfRule type="cellIs" priority="1468" operator="equal" dxfId="0">
      <formula>"W"</formula>
    </cfRule>
    <cfRule type="cellIs" priority="1469" operator="equal" dxfId="1">
      <formula>"L"</formula>
    </cfRule>
    <cfRule type="cellIs" priority="1470" operator="equal" dxfId="2">
      <formula>"D"</formula>
    </cfRule>
  </conditionalFormatting>
  <conditionalFormatting sqref="AD19">
    <cfRule type="cellIs" priority="1471" operator="equal" dxfId="0">
      <formula>"W"</formula>
    </cfRule>
    <cfRule type="cellIs" priority="1472" operator="equal" dxfId="1">
      <formula>"L"</formula>
    </cfRule>
    <cfRule type="cellIs" priority="1473" operator="equal" dxfId="2">
      <formula>"D"</formula>
    </cfRule>
  </conditionalFormatting>
  <conditionalFormatting sqref="AE19">
    <cfRule type="cellIs" priority="1474" operator="equal" dxfId="0">
      <formula>"W"</formula>
    </cfRule>
    <cfRule type="cellIs" priority="1475" operator="equal" dxfId="1">
      <formula>"L"</formula>
    </cfRule>
    <cfRule type="cellIs" priority="1476" operator="equal" dxfId="2">
      <formula>"D"</formula>
    </cfRule>
  </conditionalFormatting>
  <conditionalFormatting sqref="AF19">
    <cfRule type="cellIs" priority="1477" operator="equal" dxfId="0">
      <formula>"W"</formula>
    </cfRule>
    <cfRule type="cellIs" priority="1478" operator="equal" dxfId="1">
      <formula>"L"</formula>
    </cfRule>
    <cfRule type="cellIs" priority="1479" operator="equal" dxfId="2">
      <formula>"D"</formula>
    </cfRule>
  </conditionalFormatting>
  <conditionalFormatting sqref="C20">
    <cfRule type="cellIs" priority="1480" operator="equal" dxfId="0">
      <formula>"W"</formula>
    </cfRule>
    <cfRule type="cellIs" priority="1481" operator="equal" dxfId="1">
      <formula>"L"</formula>
    </cfRule>
    <cfRule type="cellIs" priority="1482" operator="equal" dxfId="2">
      <formula>"D"</formula>
    </cfRule>
  </conditionalFormatting>
  <conditionalFormatting sqref="D20">
    <cfRule type="cellIs" priority="1483" operator="equal" dxfId="0">
      <formula>"W"</formula>
    </cfRule>
    <cfRule type="cellIs" priority="1484" operator="equal" dxfId="1">
      <formula>"L"</formula>
    </cfRule>
    <cfRule type="cellIs" priority="1485" operator="equal" dxfId="2">
      <formula>"D"</formula>
    </cfRule>
  </conditionalFormatting>
  <conditionalFormatting sqref="E20">
    <cfRule type="cellIs" priority="1486" operator="equal" dxfId="0">
      <formula>"W"</formula>
    </cfRule>
    <cfRule type="cellIs" priority="1487" operator="equal" dxfId="1">
      <formula>"L"</formula>
    </cfRule>
    <cfRule type="cellIs" priority="1488" operator="equal" dxfId="2">
      <formula>"D"</formula>
    </cfRule>
  </conditionalFormatting>
  <conditionalFormatting sqref="F20">
    <cfRule type="cellIs" priority="1489" operator="equal" dxfId="0">
      <formula>"W"</formula>
    </cfRule>
    <cfRule type="cellIs" priority="1490" operator="equal" dxfId="1">
      <formula>"L"</formula>
    </cfRule>
    <cfRule type="cellIs" priority="1491" operator="equal" dxfId="2">
      <formula>"D"</formula>
    </cfRule>
  </conditionalFormatting>
  <conditionalFormatting sqref="G20">
    <cfRule type="cellIs" priority="1492" operator="equal" dxfId="0">
      <formula>"W"</formula>
    </cfRule>
    <cfRule type="cellIs" priority="1493" operator="equal" dxfId="1">
      <formula>"L"</formula>
    </cfRule>
    <cfRule type="cellIs" priority="1494" operator="equal" dxfId="2">
      <formula>"D"</formula>
    </cfRule>
  </conditionalFormatting>
  <conditionalFormatting sqref="H20">
    <cfRule type="cellIs" priority="1495" operator="equal" dxfId="0">
      <formula>"W"</formula>
    </cfRule>
    <cfRule type="cellIs" priority="1496" operator="equal" dxfId="1">
      <formula>"L"</formula>
    </cfRule>
    <cfRule type="cellIs" priority="1497" operator="equal" dxfId="2">
      <formula>"D"</formula>
    </cfRule>
  </conditionalFormatting>
  <conditionalFormatting sqref="I20">
    <cfRule type="cellIs" priority="1498" operator="equal" dxfId="0">
      <formula>"W"</formula>
    </cfRule>
    <cfRule type="cellIs" priority="1499" operator="equal" dxfId="1">
      <formula>"L"</formula>
    </cfRule>
    <cfRule type="cellIs" priority="1500" operator="equal" dxfId="2">
      <formula>"D"</formula>
    </cfRule>
  </conditionalFormatting>
  <conditionalFormatting sqref="J20">
    <cfRule type="cellIs" priority="1501" operator="equal" dxfId="0">
      <formula>"W"</formula>
    </cfRule>
    <cfRule type="cellIs" priority="1502" operator="equal" dxfId="1">
      <formula>"L"</formula>
    </cfRule>
    <cfRule type="cellIs" priority="1503" operator="equal" dxfId="2">
      <formula>"D"</formula>
    </cfRule>
  </conditionalFormatting>
  <conditionalFormatting sqref="K20">
    <cfRule type="cellIs" priority="1504" operator="equal" dxfId="0">
      <formula>"W"</formula>
    </cfRule>
    <cfRule type="cellIs" priority="1505" operator="equal" dxfId="1">
      <formula>"L"</formula>
    </cfRule>
    <cfRule type="cellIs" priority="1506" operator="equal" dxfId="2">
      <formula>"D"</formula>
    </cfRule>
  </conditionalFormatting>
  <conditionalFormatting sqref="L20">
    <cfRule type="cellIs" priority="1507" operator="equal" dxfId="0">
      <formula>"W"</formula>
    </cfRule>
    <cfRule type="cellIs" priority="1508" operator="equal" dxfId="1">
      <formula>"L"</formula>
    </cfRule>
    <cfRule type="cellIs" priority="1509" operator="equal" dxfId="2">
      <formula>"D"</formula>
    </cfRule>
  </conditionalFormatting>
  <conditionalFormatting sqref="M20">
    <cfRule type="cellIs" priority="1510" operator="equal" dxfId="0">
      <formula>"W"</formula>
    </cfRule>
    <cfRule type="cellIs" priority="1511" operator="equal" dxfId="1">
      <formula>"L"</formula>
    </cfRule>
    <cfRule type="cellIs" priority="1512" operator="equal" dxfId="2">
      <formula>"D"</formula>
    </cfRule>
  </conditionalFormatting>
  <conditionalFormatting sqref="N20">
    <cfRule type="cellIs" priority="1513" operator="equal" dxfId="0">
      <formula>"W"</formula>
    </cfRule>
    <cfRule type="cellIs" priority="1514" operator="equal" dxfId="1">
      <formula>"L"</formula>
    </cfRule>
    <cfRule type="cellIs" priority="1515" operator="equal" dxfId="2">
      <formula>"D"</formula>
    </cfRule>
  </conditionalFormatting>
  <conditionalFormatting sqref="O20">
    <cfRule type="cellIs" priority="1516" operator="equal" dxfId="0">
      <formula>"W"</formula>
    </cfRule>
    <cfRule type="cellIs" priority="1517" operator="equal" dxfId="1">
      <formula>"L"</formula>
    </cfRule>
    <cfRule type="cellIs" priority="1518" operator="equal" dxfId="2">
      <formula>"D"</formula>
    </cfRule>
  </conditionalFormatting>
  <conditionalFormatting sqref="P20">
    <cfRule type="cellIs" priority="1519" operator="equal" dxfId="0">
      <formula>"W"</formula>
    </cfRule>
    <cfRule type="cellIs" priority="1520" operator="equal" dxfId="1">
      <formula>"L"</formula>
    </cfRule>
    <cfRule type="cellIs" priority="1521" operator="equal" dxfId="2">
      <formula>"D"</formula>
    </cfRule>
  </conditionalFormatting>
  <conditionalFormatting sqref="Q20">
    <cfRule type="cellIs" priority="1522" operator="equal" dxfId="0">
      <formula>"W"</formula>
    </cfRule>
    <cfRule type="cellIs" priority="1523" operator="equal" dxfId="1">
      <formula>"L"</formula>
    </cfRule>
    <cfRule type="cellIs" priority="1524" operator="equal" dxfId="2">
      <formula>"D"</formula>
    </cfRule>
  </conditionalFormatting>
  <conditionalFormatting sqref="R20">
    <cfRule type="cellIs" priority="1525" operator="equal" dxfId="0">
      <formula>"W"</formula>
    </cfRule>
    <cfRule type="cellIs" priority="1526" operator="equal" dxfId="1">
      <formula>"L"</formula>
    </cfRule>
    <cfRule type="cellIs" priority="1527" operator="equal" dxfId="2">
      <formula>"D"</formula>
    </cfRule>
  </conditionalFormatting>
  <conditionalFormatting sqref="S20">
    <cfRule type="cellIs" priority="1528" operator="equal" dxfId="0">
      <formula>"W"</formula>
    </cfRule>
    <cfRule type="cellIs" priority="1529" operator="equal" dxfId="1">
      <formula>"L"</formula>
    </cfRule>
    <cfRule type="cellIs" priority="1530" operator="equal" dxfId="2">
      <formula>"D"</formula>
    </cfRule>
  </conditionalFormatting>
  <conditionalFormatting sqref="U20">
    <cfRule type="cellIs" priority="1531" operator="equal" dxfId="0">
      <formula>"W"</formula>
    </cfRule>
    <cfRule type="cellIs" priority="1532" operator="equal" dxfId="1">
      <formula>"L"</formula>
    </cfRule>
    <cfRule type="cellIs" priority="1533" operator="equal" dxfId="2">
      <formula>"D"</formula>
    </cfRule>
  </conditionalFormatting>
  <conditionalFormatting sqref="V20">
    <cfRule type="cellIs" priority="1534" operator="equal" dxfId="0">
      <formula>"W"</formula>
    </cfRule>
    <cfRule type="cellIs" priority="1535" operator="equal" dxfId="1">
      <formula>"L"</formula>
    </cfRule>
    <cfRule type="cellIs" priority="1536" operator="equal" dxfId="2">
      <formula>"D"</formula>
    </cfRule>
  </conditionalFormatting>
  <conditionalFormatting sqref="W20">
    <cfRule type="cellIs" priority="1537" operator="equal" dxfId="0">
      <formula>"W"</formula>
    </cfRule>
    <cfRule type="cellIs" priority="1538" operator="equal" dxfId="1">
      <formula>"L"</formula>
    </cfRule>
    <cfRule type="cellIs" priority="1539" operator="equal" dxfId="2">
      <formula>"D"</formula>
    </cfRule>
  </conditionalFormatting>
  <conditionalFormatting sqref="X20">
    <cfRule type="cellIs" priority="1540" operator="equal" dxfId="0">
      <formula>"W"</formula>
    </cfRule>
    <cfRule type="cellIs" priority="1541" operator="equal" dxfId="1">
      <formula>"L"</formula>
    </cfRule>
    <cfRule type="cellIs" priority="1542" operator="equal" dxfId="2">
      <formula>"D"</formula>
    </cfRule>
  </conditionalFormatting>
  <conditionalFormatting sqref="Y20">
    <cfRule type="cellIs" priority="1543" operator="equal" dxfId="0">
      <formula>"W"</formula>
    </cfRule>
    <cfRule type="cellIs" priority="1544" operator="equal" dxfId="1">
      <formula>"L"</formula>
    </cfRule>
    <cfRule type="cellIs" priority="1545" operator="equal" dxfId="2">
      <formula>"D"</formula>
    </cfRule>
  </conditionalFormatting>
  <conditionalFormatting sqref="Z20">
    <cfRule type="cellIs" priority="1546" operator="equal" dxfId="0">
      <formula>"W"</formula>
    </cfRule>
    <cfRule type="cellIs" priority="1547" operator="equal" dxfId="1">
      <formula>"L"</formula>
    </cfRule>
    <cfRule type="cellIs" priority="1548" operator="equal" dxfId="2">
      <formula>"D"</formula>
    </cfRule>
  </conditionalFormatting>
  <conditionalFormatting sqref="AA20">
    <cfRule type="cellIs" priority="1549" operator="equal" dxfId="0">
      <formula>"W"</formula>
    </cfRule>
    <cfRule type="cellIs" priority="1550" operator="equal" dxfId="1">
      <formula>"L"</formula>
    </cfRule>
    <cfRule type="cellIs" priority="1551" operator="equal" dxfId="2">
      <formula>"D"</formula>
    </cfRule>
  </conditionalFormatting>
  <conditionalFormatting sqref="AB20">
    <cfRule type="cellIs" priority="1552" operator="equal" dxfId="0">
      <formula>"W"</formula>
    </cfRule>
    <cfRule type="cellIs" priority="1553" operator="equal" dxfId="1">
      <formula>"L"</formula>
    </cfRule>
    <cfRule type="cellIs" priority="1554" operator="equal" dxfId="2">
      <formula>"D"</formula>
    </cfRule>
  </conditionalFormatting>
  <conditionalFormatting sqref="AC20">
    <cfRule type="cellIs" priority="1555" operator="equal" dxfId="0">
      <formula>"W"</formula>
    </cfRule>
    <cfRule type="cellIs" priority="1556" operator="equal" dxfId="1">
      <formula>"L"</formula>
    </cfRule>
    <cfRule type="cellIs" priority="1557" operator="equal" dxfId="2">
      <formula>"D"</formula>
    </cfRule>
  </conditionalFormatting>
  <conditionalFormatting sqref="AD20">
    <cfRule type="cellIs" priority="1558" operator="equal" dxfId="0">
      <formula>"W"</formula>
    </cfRule>
    <cfRule type="cellIs" priority="1559" operator="equal" dxfId="1">
      <formula>"L"</formula>
    </cfRule>
    <cfRule type="cellIs" priority="1560" operator="equal" dxfId="2">
      <formula>"D"</formula>
    </cfRule>
  </conditionalFormatting>
  <conditionalFormatting sqref="AE20">
    <cfRule type="cellIs" priority="1561" operator="equal" dxfId="0">
      <formula>"W"</formula>
    </cfRule>
    <cfRule type="cellIs" priority="1562" operator="equal" dxfId="1">
      <formula>"L"</formula>
    </cfRule>
    <cfRule type="cellIs" priority="1563" operator="equal" dxfId="2">
      <formula>"D"</formula>
    </cfRule>
  </conditionalFormatting>
  <conditionalFormatting sqref="AF20">
    <cfRule type="cellIs" priority="1564" operator="equal" dxfId="0">
      <formula>"W"</formula>
    </cfRule>
    <cfRule type="cellIs" priority="1565" operator="equal" dxfId="1">
      <formula>"L"</formula>
    </cfRule>
    <cfRule type="cellIs" priority="1566" operator="equal" dxfId="2">
      <formula>"D"</formula>
    </cfRule>
  </conditionalFormatting>
  <conditionalFormatting sqref="C21">
    <cfRule type="cellIs" priority="1567" operator="equal" dxfId="0">
      <formula>"W"</formula>
    </cfRule>
    <cfRule type="cellIs" priority="1568" operator="equal" dxfId="1">
      <formula>"L"</formula>
    </cfRule>
    <cfRule type="cellIs" priority="1569" operator="equal" dxfId="2">
      <formula>"D"</formula>
    </cfRule>
  </conditionalFormatting>
  <conditionalFormatting sqref="D21">
    <cfRule type="cellIs" priority="1570" operator="equal" dxfId="0">
      <formula>"W"</formula>
    </cfRule>
    <cfRule type="cellIs" priority="1571" operator="equal" dxfId="1">
      <formula>"L"</formula>
    </cfRule>
    <cfRule type="cellIs" priority="1572" operator="equal" dxfId="2">
      <formula>"D"</formula>
    </cfRule>
  </conditionalFormatting>
  <conditionalFormatting sqref="E21">
    <cfRule type="cellIs" priority="1573" operator="equal" dxfId="0">
      <formula>"W"</formula>
    </cfRule>
    <cfRule type="cellIs" priority="1574" operator="equal" dxfId="1">
      <formula>"L"</formula>
    </cfRule>
    <cfRule type="cellIs" priority="1575" operator="equal" dxfId="2">
      <formula>"D"</formula>
    </cfRule>
  </conditionalFormatting>
  <conditionalFormatting sqref="F21">
    <cfRule type="cellIs" priority="1576" operator="equal" dxfId="0">
      <formula>"W"</formula>
    </cfRule>
    <cfRule type="cellIs" priority="1577" operator="equal" dxfId="1">
      <formula>"L"</formula>
    </cfRule>
    <cfRule type="cellIs" priority="1578" operator="equal" dxfId="2">
      <formula>"D"</formula>
    </cfRule>
  </conditionalFormatting>
  <conditionalFormatting sqref="G21">
    <cfRule type="cellIs" priority="1579" operator="equal" dxfId="0">
      <formula>"W"</formula>
    </cfRule>
    <cfRule type="cellIs" priority="1580" operator="equal" dxfId="1">
      <formula>"L"</formula>
    </cfRule>
    <cfRule type="cellIs" priority="1581" operator="equal" dxfId="2">
      <formula>"D"</formula>
    </cfRule>
  </conditionalFormatting>
  <conditionalFormatting sqref="H21">
    <cfRule type="cellIs" priority="1582" operator="equal" dxfId="0">
      <formula>"W"</formula>
    </cfRule>
    <cfRule type="cellIs" priority="1583" operator="equal" dxfId="1">
      <formula>"L"</formula>
    </cfRule>
    <cfRule type="cellIs" priority="1584" operator="equal" dxfId="2">
      <formula>"D"</formula>
    </cfRule>
  </conditionalFormatting>
  <conditionalFormatting sqref="I21">
    <cfRule type="cellIs" priority="1585" operator="equal" dxfId="0">
      <formula>"W"</formula>
    </cfRule>
    <cfRule type="cellIs" priority="1586" operator="equal" dxfId="1">
      <formula>"L"</formula>
    </cfRule>
    <cfRule type="cellIs" priority="1587" operator="equal" dxfId="2">
      <formula>"D"</formula>
    </cfRule>
  </conditionalFormatting>
  <conditionalFormatting sqref="J21">
    <cfRule type="cellIs" priority="1588" operator="equal" dxfId="0">
      <formula>"W"</formula>
    </cfRule>
    <cfRule type="cellIs" priority="1589" operator="equal" dxfId="1">
      <formula>"L"</formula>
    </cfRule>
    <cfRule type="cellIs" priority="1590" operator="equal" dxfId="2">
      <formula>"D"</formula>
    </cfRule>
  </conditionalFormatting>
  <conditionalFormatting sqref="K21">
    <cfRule type="cellIs" priority="1591" operator="equal" dxfId="0">
      <formula>"W"</formula>
    </cfRule>
    <cfRule type="cellIs" priority="1592" operator="equal" dxfId="1">
      <formula>"L"</formula>
    </cfRule>
    <cfRule type="cellIs" priority="1593" operator="equal" dxfId="2">
      <formula>"D"</formula>
    </cfRule>
  </conditionalFormatting>
  <conditionalFormatting sqref="L21">
    <cfRule type="cellIs" priority="1594" operator="equal" dxfId="0">
      <formula>"W"</formula>
    </cfRule>
    <cfRule type="cellIs" priority="1595" operator="equal" dxfId="1">
      <formula>"L"</formula>
    </cfRule>
    <cfRule type="cellIs" priority="1596" operator="equal" dxfId="2">
      <formula>"D"</formula>
    </cfRule>
  </conditionalFormatting>
  <conditionalFormatting sqref="M21">
    <cfRule type="cellIs" priority="1597" operator="equal" dxfId="0">
      <formula>"W"</formula>
    </cfRule>
    <cfRule type="cellIs" priority="1598" operator="equal" dxfId="1">
      <formula>"L"</formula>
    </cfRule>
    <cfRule type="cellIs" priority="1599" operator="equal" dxfId="2">
      <formula>"D"</formula>
    </cfRule>
  </conditionalFormatting>
  <conditionalFormatting sqref="N21">
    <cfRule type="cellIs" priority="1600" operator="equal" dxfId="0">
      <formula>"W"</formula>
    </cfRule>
    <cfRule type="cellIs" priority="1601" operator="equal" dxfId="1">
      <formula>"L"</formula>
    </cfRule>
    <cfRule type="cellIs" priority="1602" operator="equal" dxfId="2">
      <formula>"D"</formula>
    </cfRule>
  </conditionalFormatting>
  <conditionalFormatting sqref="O21">
    <cfRule type="cellIs" priority="1603" operator="equal" dxfId="0">
      <formula>"W"</formula>
    </cfRule>
    <cfRule type="cellIs" priority="1604" operator="equal" dxfId="1">
      <formula>"L"</formula>
    </cfRule>
    <cfRule type="cellIs" priority="1605" operator="equal" dxfId="2">
      <formula>"D"</formula>
    </cfRule>
  </conditionalFormatting>
  <conditionalFormatting sqref="P21">
    <cfRule type="cellIs" priority="1606" operator="equal" dxfId="0">
      <formula>"W"</formula>
    </cfRule>
    <cfRule type="cellIs" priority="1607" operator="equal" dxfId="1">
      <formula>"L"</formula>
    </cfRule>
    <cfRule type="cellIs" priority="1608" operator="equal" dxfId="2">
      <formula>"D"</formula>
    </cfRule>
  </conditionalFormatting>
  <conditionalFormatting sqref="Q21">
    <cfRule type="cellIs" priority="1609" operator="equal" dxfId="0">
      <formula>"W"</formula>
    </cfRule>
    <cfRule type="cellIs" priority="1610" operator="equal" dxfId="1">
      <formula>"L"</formula>
    </cfRule>
    <cfRule type="cellIs" priority="1611" operator="equal" dxfId="2">
      <formula>"D"</formula>
    </cfRule>
  </conditionalFormatting>
  <conditionalFormatting sqref="R21">
    <cfRule type="cellIs" priority="1612" operator="equal" dxfId="0">
      <formula>"W"</formula>
    </cfRule>
    <cfRule type="cellIs" priority="1613" operator="equal" dxfId="1">
      <formula>"L"</formula>
    </cfRule>
    <cfRule type="cellIs" priority="1614" operator="equal" dxfId="2">
      <formula>"D"</formula>
    </cfRule>
  </conditionalFormatting>
  <conditionalFormatting sqref="S21">
    <cfRule type="cellIs" priority="1615" operator="equal" dxfId="0">
      <formula>"W"</formula>
    </cfRule>
    <cfRule type="cellIs" priority="1616" operator="equal" dxfId="1">
      <formula>"L"</formula>
    </cfRule>
    <cfRule type="cellIs" priority="1617" operator="equal" dxfId="2">
      <formula>"D"</formula>
    </cfRule>
  </conditionalFormatting>
  <conditionalFormatting sqref="T21">
    <cfRule type="cellIs" priority="1618" operator="equal" dxfId="0">
      <formula>"W"</formula>
    </cfRule>
    <cfRule type="cellIs" priority="1619" operator="equal" dxfId="1">
      <formula>"L"</formula>
    </cfRule>
    <cfRule type="cellIs" priority="1620" operator="equal" dxfId="2">
      <formula>"D"</formula>
    </cfRule>
  </conditionalFormatting>
  <conditionalFormatting sqref="V21">
    <cfRule type="cellIs" priority="1621" operator="equal" dxfId="0">
      <formula>"W"</formula>
    </cfRule>
    <cfRule type="cellIs" priority="1622" operator="equal" dxfId="1">
      <formula>"L"</formula>
    </cfRule>
    <cfRule type="cellIs" priority="1623" operator="equal" dxfId="2">
      <formula>"D"</formula>
    </cfRule>
  </conditionalFormatting>
  <conditionalFormatting sqref="W21">
    <cfRule type="cellIs" priority="1624" operator="equal" dxfId="0">
      <formula>"W"</formula>
    </cfRule>
    <cfRule type="cellIs" priority="1625" operator="equal" dxfId="1">
      <formula>"L"</formula>
    </cfRule>
    <cfRule type="cellIs" priority="1626" operator="equal" dxfId="2">
      <formula>"D"</formula>
    </cfRule>
  </conditionalFormatting>
  <conditionalFormatting sqref="X21">
    <cfRule type="cellIs" priority="1627" operator="equal" dxfId="0">
      <formula>"W"</formula>
    </cfRule>
    <cfRule type="cellIs" priority="1628" operator="equal" dxfId="1">
      <formula>"L"</formula>
    </cfRule>
    <cfRule type="cellIs" priority="1629" operator="equal" dxfId="2">
      <formula>"D"</formula>
    </cfRule>
  </conditionalFormatting>
  <conditionalFormatting sqref="Y21">
    <cfRule type="cellIs" priority="1630" operator="equal" dxfId="0">
      <formula>"W"</formula>
    </cfRule>
    <cfRule type="cellIs" priority="1631" operator="equal" dxfId="1">
      <formula>"L"</formula>
    </cfRule>
    <cfRule type="cellIs" priority="1632" operator="equal" dxfId="2">
      <formula>"D"</formula>
    </cfRule>
  </conditionalFormatting>
  <conditionalFormatting sqref="Z21">
    <cfRule type="cellIs" priority="1633" operator="equal" dxfId="0">
      <formula>"W"</formula>
    </cfRule>
    <cfRule type="cellIs" priority="1634" operator="equal" dxfId="1">
      <formula>"L"</formula>
    </cfRule>
    <cfRule type="cellIs" priority="1635" operator="equal" dxfId="2">
      <formula>"D"</formula>
    </cfRule>
  </conditionalFormatting>
  <conditionalFormatting sqref="AA21">
    <cfRule type="cellIs" priority="1636" operator="equal" dxfId="0">
      <formula>"W"</formula>
    </cfRule>
    <cfRule type="cellIs" priority="1637" operator="equal" dxfId="1">
      <formula>"L"</formula>
    </cfRule>
    <cfRule type="cellIs" priority="1638" operator="equal" dxfId="2">
      <formula>"D"</formula>
    </cfRule>
  </conditionalFormatting>
  <conditionalFormatting sqref="AB21">
    <cfRule type="cellIs" priority="1639" operator="equal" dxfId="0">
      <formula>"W"</formula>
    </cfRule>
    <cfRule type="cellIs" priority="1640" operator="equal" dxfId="1">
      <formula>"L"</formula>
    </cfRule>
    <cfRule type="cellIs" priority="1641" operator="equal" dxfId="2">
      <formula>"D"</formula>
    </cfRule>
  </conditionalFormatting>
  <conditionalFormatting sqref="AC21">
    <cfRule type="cellIs" priority="1642" operator="equal" dxfId="0">
      <formula>"W"</formula>
    </cfRule>
    <cfRule type="cellIs" priority="1643" operator="equal" dxfId="1">
      <formula>"L"</formula>
    </cfRule>
    <cfRule type="cellIs" priority="1644" operator="equal" dxfId="2">
      <formula>"D"</formula>
    </cfRule>
  </conditionalFormatting>
  <conditionalFormatting sqref="AD21">
    <cfRule type="cellIs" priority="1645" operator="equal" dxfId="0">
      <formula>"W"</formula>
    </cfRule>
    <cfRule type="cellIs" priority="1646" operator="equal" dxfId="1">
      <formula>"L"</formula>
    </cfRule>
    <cfRule type="cellIs" priority="1647" operator="equal" dxfId="2">
      <formula>"D"</formula>
    </cfRule>
  </conditionalFormatting>
  <conditionalFormatting sqref="AE21">
    <cfRule type="cellIs" priority="1648" operator="equal" dxfId="0">
      <formula>"W"</formula>
    </cfRule>
    <cfRule type="cellIs" priority="1649" operator="equal" dxfId="1">
      <formula>"L"</formula>
    </cfRule>
    <cfRule type="cellIs" priority="1650" operator="equal" dxfId="2">
      <formula>"D"</formula>
    </cfRule>
  </conditionalFormatting>
  <conditionalFormatting sqref="AF21">
    <cfRule type="cellIs" priority="1651" operator="equal" dxfId="0">
      <formula>"W"</formula>
    </cfRule>
    <cfRule type="cellIs" priority="1652" operator="equal" dxfId="1">
      <formula>"L"</formula>
    </cfRule>
    <cfRule type="cellIs" priority="1653" operator="equal" dxfId="2">
      <formula>"D"</formula>
    </cfRule>
  </conditionalFormatting>
  <conditionalFormatting sqref="C22">
    <cfRule type="cellIs" priority="1654" operator="equal" dxfId="0">
      <formula>"W"</formula>
    </cfRule>
    <cfRule type="cellIs" priority="1655" operator="equal" dxfId="1">
      <formula>"L"</formula>
    </cfRule>
    <cfRule type="cellIs" priority="1656" operator="equal" dxfId="2">
      <formula>"D"</formula>
    </cfRule>
  </conditionalFormatting>
  <conditionalFormatting sqref="D22">
    <cfRule type="cellIs" priority="1657" operator="equal" dxfId="0">
      <formula>"W"</formula>
    </cfRule>
    <cfRule type="cellIs" priority="1658" operator="equal" dxfId="1">
      <formula>"L"</formula>
    </cfRule>
    <cfRule type="cellIs" priority="1659" operator="equal" dxfId="2">
      <formula>"D"</formula>
    </cfRule>
  </conditionalFormatting>
  <conditionalFormatting sqref="E22">
    <cfRule type="cellIs" priority="1660" operator="equal" dxfId="0">
      <formula>"W"</formula>
    </cfRule>
    <cfRule type="cellIs" priority="1661" operator="equal" dxfId="1">
      <formula>"L"</formula>
    </cfRule>
    <cfRule type="cellIs" priority="1662" operator="equal" dxfId="2">
      <formula>"D"</formula>
    </cfRule>
  </conditionalFormatting>
  <conditionalFormatting sqref="F22">
    <cfRule type="cellIs" priority="1663" operator="equal" dxfId="0">
      <formula>"W"</formula>
    </cfRule>
    <cfRule type="cellIs" priority="1664" operator="equal" dxfId="1">
      <formula>"L"</formula>
    </cfRule>
    <cfRule type="cellIs" priority="1665" operator="equal" dxfId="2">
      <formula>"D"</formula>
    </cfRule>
  </conditionalFormatting>
  <conditionalFormatting sqref="G22">
    <cfRule type="cellIs" priority="1666" operator="equal" dxfId="0">
      <formula>"W"</formula>
    </cfRule>
    <cfRule type="cellIs" priority="1667" operator="equal" dxfId="1">
      <formula>"L"</formula>
    </cfRule>
    <cfRule type="cellIs" priority="1668" operator="equal" dxfId="2">
      <formula>"D"</formula>
    </cfRule>
  </conditionalFormatting>
  <conditionalFormatting sqref="H22">
    <cfRule type="cellIs" priority="1669" operator="equal" dxfId="0">
      <formula>"W"</formula>
    </cfRule>
    <cfRule type="cellIs" priority="1670" operator="equal" dxfId="1">
      <formula>"L"</formula>
    </cfRule>
    <cfRule type="cellIs" priority="1671" operator="equal" dxfId="2">
      <formula>"D"</formula>
    </cfRule>
  </conditionalFormatting>
  <conditionalFormatting sqref="I22">
    <cfRule type="cellIs" priority="1672" operator="equal" dxfId="0">
      <formula>"W"</formula>
    </cfRule>
    <cfRule type="cellIs" priority="1673" operator="equal" dxfId="1">
      <formula>"L"</formula>
    </cfRule>
    <cfRule type="cellIs" priority="1674" operator="equal" dxfId="2">
      <formula>"D"</formula>
    </cfRule>
  </conditionalFormatting>
  <conditionalFormatting sqref="J22">
    <cfRule type="cellIs" priority="1675" operator="equal" dxfId="0">
      <formula>"W"</formula>
    </cfRule>
    <cfRule type="cellIs" priority="1676" operator="equal" dxfId="1">
      <formula>"L"</formula>
    </cfRule>
    <cfRule type="cellIs" priority="1677" operator="equal" dxfId="2">
      <formula>"D"</formula>
    </cfRule>
  </conditionalFormatting>
  <conditionalFormatting sqref="K22">
    <cfRule type="cellIs" priority="1678" operator="equal" dxfId="0">
      <formula>"W"</formula>
    </cfRule>
    <cfRule type="cellIs" priority="1679" operator="equal" dxfId="1">
      <formula>"L"</formula>
    </cfRule>
    <cfRule type="cellIs" priority="1680" operator="equal" dxfId="2">
      <formula>"D"</formula>
    </cfRule>
  </conditionalFormatting>
  <conditionalFormatting sqref="L22">
    <cfRule type="cellIs" priority="1681" operator="equal" dxfId="0">
      <formula>"W"</formula>
    </cfRule>
    <cfRule type="cellIs" priority="1682" operator="equal" dxfId="1">
      <formula>"L"</formula>
    </cfRule>
    <cfRule type="cellIs" priority="1683" operator="equal" dxfId="2">
      <formula>"D"</formula>
    </cfRule>
  </conditionalFormatting>
  <conditionalFormatting sqref="M22">
    <cfRule type="cellIs" priority="1684" operator="equal" dxfId="0">
      <formula>"W"</formula>
    </cfRule>
    <cfRule type="cellIs" priority="1685" operator="equal" dxfId="1">
      <formula>"L"</formula>
    </cfRule>
    <cfRule type="cellIs" priority="1686" operator="equal" dxfId="2">
      <formula>"D"</formula>
    </cfRule>
  </conditionalFormatting>
  <conditionalFormatting sqref="N22">
    <cfRule type="cellIs" priority="1687" operator="equal" dxfId="0">
      <formula>"W"</formula>
    </cfRule>
    <cfRule type="cellIs" priority="1688" operator="equal" dxfId="1">
      <formula>"L"</formula>
    </cfRule>
    <cfRule type="cellIs" priority="1689" operator="equal" dxfId="2">
      <formula>"D"</formula>
    </cfRule>
  </conditionalFormatting>
  <conditionalFormatting sqref="O22">
    <cfRule type="cellIs" priority="1690" operator="equal" dxfId="0">
      <formula>"W"</formula>
    </cfRule>
    <cfRule type="cellIs" priority="1691" operator="equal" dxfId="1">
      <formula>"L"</formula>
    </cfRule>
    <cfRule type="cellIs" priority="1692" operator="equal" dxfId="2">
      <formula>"D"</formula>
    </cfRule>
  </conditionalFormatting>
  <conditionalFormatting sqref="P22">
    <cfRule type="cellIs" priority="1693" operator="equal" dxfId="0">
      <formula>"W"</formula>
    </cfRule>
    <cfRule type="cellIs" priority="1694" operator="equal" dxfId="1">
      <formula>"L"</formula>
    </cfRule>
    <cfRule type="cellIs" priority="1695" operator="equal" dxfId="2">
      <formula>"D"</formula>
    </cfRule>
  </conditionalFormatting>
  <conditionalFormatting sqref="Q22">
    <cfRule type="cellIs" priority="1696" operator="equal" dxfId="0">
      <formula>"W"</formula>
    </cfRule>
    <cfRule type="cellIs" priority="1697" operator="equal" dxfId="1">
      <formula>"L"</formula>
    </cfRule>
    <cfRule type="cellIs" priority="1698" operator="equal" dxfId="2">
      <formula>"D"</formula>
    </cfRule>
  </conditionalFormatting>
  <conditionalFormatting sqref="R22">
    <cfRule type="cellIs" priority="1699" operator="equal" dxfId="0">
      <formula>"W"</formula>
    </cfRule>
    <cfRule type="cellIs" priority="1700" operator="equal" dxfId="1">
      <formula>"L"</formula>
    </cfRule>
    <cfRule type="cellIs" priority="1701" operator="equal" dxfId="2">
      <formula>"D"</formula>
    </cfRule>
  </conditionalFormatting>
  <conditionalFormatting sqref="S22">
    <cfRule type="cellIs" priority="1702" operator="equal" dxfId="0">
      <formula>"W"</formula>
    </cfRule>
    <cfRule type="cellIs" priority="1703" operator="equal" dxfId="1">
      <formula>"L"</formula>
    </cfRule>
    <cfRule type="cellIs" priority="1704" operator="equal" dxfId="2">
      <formula>"D"</formula>
    </cfRule>
  </conditionalFormatting>
  <conditionalFormatting sqref="T22">
    <cfRule type="cellIs" priority="1705" operator="equal" dxfId="0">
      <formula>"W"</formula>
    </cfRule>
    <cfRule type="cellIs" priority="1706" operator="equal" dxfId="1">
      <formula>"L"</formula>
    </cfRule>
    <cfRule type="cellIs" priority="1707" operator="equal" dxfId="2">
      <formula>"D"</formula>
    </cfRule>
  </conditionalFormatting>
  <conditionalFormatting sqref="U22">
    <cfRule type="cellIs" priority="1708" operator="equal" dxfId="0">
      <formula>"W"</formula>
    </cfRule>
    <cfRule type="cellIs" priority="1709" operator="equal" dxfId="1">
      <formula>"L"</formula>
    </cfRule>
    <cfRule type="cellIs" priority="1710" operator="equal" dxfId="2">
      <formula>"D"</formula>
    </cfRule>
  </conditionalFormatting>
  <conditionalFormatting sqref="W22">
    <cfRule type="cellIs" priority="1711" operator="equal" dxfId="0">
      <formula>"W"</formula>
    </cfRule>
    <cfRule type="cellIs" priority="1712" operator="equal" dxfId="1">
      <formula>"L"</formula>
    </cfRule>
    <cfRule type="cellIs" priority="1713" operator="equal" dxfId="2">
      <formula>"D"</formula>
    </cfRule>
  </conditionalFormatting>
  <conditionalFormatting sqref="X22">
    <cfRule type="cellIs" priority="1714" operator="equal" dxfId="0">
      <formula>"W"</formula>
    </cfRule>
    <cfRule type="cellIs" priority="1715" operator="equal" dxfId="1">
      <formula>"L"</formula>
    </cfRule>
    <cfRule type="cellIs" priority="1716" operator="equal" dxfId="2">
      <formula>"D"</formula>
    </cfRule>
  </conditionalFormatting>
  <conditionalFormatting sqref="Y22">
    <cfRule type="cellIs" priority="1717" operator="equal" dxfId="0">
      <formula>"W"</formula>
    </cfRule>
    <cfRule type="cellIs" priority="1718" operator="equal" dxfId="1">
      <formula>"L"</formula>
    </cfRule>
    <cfRule type="cellIs" priority="1719" operator="equal" dxfId="2">
      <formula>"D"</formula>
    </cfRule>
  </conditionalFormatting>
  <conditionalFormatting sqref="Z22">
    <cfRule type="cellIs" priority="1720" operator="equal" dxfId="0">
      <formula>"W"</formula>
    </cfRule>
    <cfRule type="cellIs" priority="1721" operator="equal" dxfId="1">
      <formula>"L"</formula>
    </cfRule>
    <cfRule type="cellIs" priority="1722" operator="equal" dxfId="2">
      <formula>"D"</formula>
    </cfRule>
  </conditionalFormatting>
  <conditionalFormatting sqref="AA22">
    <cfRule type="cellIs" priority="1723" operator="equal" dxfId="0">
      <formula>"W"</formula>
    </cfRule>
    <cfRule type="cellIs" priority="1724" operator="equal" dxfId="1">
      <formula>"L"</formula>
    </cfRule>
    <cfRule type="cellIs" priority="1725" operator="equal" dxfId="2">
      <formula>"D"</formula>
    </cfRule>
  </conditionalFormatting>
  <conditionalFormatting sqref="AB22">
    <cfRule type="cellIs" priority="1726" operator="equal" dxfId="0">
      <formula>"W"</formula>
    </cfRule>
    <cfRule type="cellIs" priority="1727" operator="equal" dxfId="1">
      <formula>"L"</formula>
    </cfRule>
    <cfRule type="cellIs" priority="1728" operator="equal" dxfId="2">
      <formula>"D"</formula>
    </cfRule>
  </conditionalFormatting>
  <conditionalFormatting sqref="AC22">
    <cfRule type="cellIs" priority="1729" operator="equal" dxfId="0">
      <formula>"W"</formula>
    </cfRule>
    <cfRule type="cellIs" priority="1730" operator="equal" dxfId="1">
      <formula>"L"</formula>
    </cfRule>
    <cfRule type="cellIs" priority="1731" operator="equal" dxfId="2">
      <formula>"D"</formula>
    </cfRule>
  </conditionalFormatting>
  <conditionalFormatting sqref="AD22">
    <cfRule type="cellIs" priority="1732" operator="equal" dxfId="0">
      <formula>"W"</formula>
    </cfRule>
    <cfRule type="cellIs" priority="1733" operator="equal" dxfId="1">
      <formula>"L"</formula>
    </cfRule>
    <cfRule type="cellIs" priority="1734" operator="equal" dxfId="2">
      <formula>"D"</formula>
    </cfRule>
  </conditionalFormatting>
  <conditionalFormatting sqref="AE22">
    <cfRule type="cellIs" priority="1735" operator="equal" dxfId="0">
      <formula>"W"</formula>
    </cfRule>
    <cfRule type="cellIs" priority="1736" operator="equal" dxfId="1">
      <formula>"L"</formula>
    </cfRule>
    <cfRule type="cellIs" priority="1737" operator="equal" dxfId="2">
      <formula>"D"</formula>
    </cfRule>
  </conditionalFormatting>
  <conditionalFormatting sqref="AF22">
    <cfRule type="cellIs" priority="1738" operator="equal" dxfId="0">
      <formula>"W"</formula>
    </cfRule>
    <cfRule type="cellIs" priority="1739" operator="equal" dxfId="1">
      <formula>"L"</formula>
    </cfRule>
    <cfRule type="cellIs" priority="1740" operator="equal" dxfId="2">
      <formula>"D"</formula>
    </cfRule>
  </conditionalFormatting>
  <conditionalFormatting sqref="C23">
    <cfRule type="cellIs" priority="1741" operator="equal" dxfId="0">
      <formula>"W"</formula>
    </cfRule>
    <cfRule type="cellIs" priority="1742" operator="equal" dxfId="1">
      <formula>"L"</formula>
    </cfRule>
    <cfRule type="cellIs" priority="1743" operator="equal" dxfId="2">
      <formula>"D"</formula>
    </cfRule>
  </conditionalFormatting>
  <conditionalFormatting sqref="D23">
    <cfRule type="cellIs" priority="1744" operator="equal" dxfId="0">
      <formula>"W"</formula>
    </cfRule>
    <cfRule type="cellIs" priority="1745" operator="equal" dxfId="1">
      <formula>"L"</formula>
    </cfRule>
    <cfRule type="cellIs" priority="1746" operator="equal" dxfId="2">
      <formula>"D"</formula>
    </cfRule>
  </conditionalFormatting>
  <conditionalFormatting sqref="E23">
    <cfRule type="cellIs" priority="1747" operator="equal" dxfId="0">
      <formula>"W"</formula>
    </cfRule>
    <cfRule type="cellIs" priority="1748" operator="equal" dxfId="1">
      <formula>"L"</formula>
    </cfRule>
    <cfRule type="cellIs" priority="1749" operator="equal" dxfId="2">
      <formula>"D"</formula>
    </cfRule>
  </conditionalFormatting>
  <conditionalFormatting sqref="F23">
    <cfRule type="cellIs" priority="1750" operator="equal" dxfId="0">
      <formula>"W"</formula>
    </cfRule>
    <cfRule type="cellIs" priority="1751" operator="equal" dxfId="1">
      <formula>"L"</formula>
    </cfRule>
    <cfRule type="cellIs" priority="1752" operator="equal" dxfId="2">
      <formula>"D"</formula>
    </cfRule>
  </conditionalFormatting>
  <conditionalFormatting sqref="G23">
    <cfRule type="cellIs" priority="1753" operator="equal" dxfId="0">
      <formula>"W"</formula>
    </cfRule>
    <cfRule type="cellIs" priority="1754" operator="equal" dxfId="1">
      <formula>"L"</formula>
    </cfRule>
    <cfRule type="cellIs" priority="1755" operator="equal" dxfId="2">
      <formula>"D"</formula>
    </cfRule>
  </conditionalFormatting>
  <conditionalFormatting sqref="H23">
    <cfRule type="cellIs" priority="1756" operator="equal" dxfId="0">
      <formula>"W"</formula>
    </cfRule>
    <cfRule type="cellIs" priority="1757" operator="equal" dxfId="1">
      <formula>"L"</formula>
    </cfRule>
    <cfRule type="cellIs" priority="1758" operator="equal" dxfId="2">
      <formula>"D"</formula>
    </cfRule>
  </conditionalFormatting>
  <conditionalFormatting sqref="I23">
    <cfRule type="cellIs" priority="1759" operator="equal" dxfId="0">
      <formula>"W"</formula>
    </cfRule>
    <cfRule type="cellIs" priority="1760" operator="equal" dxfId="1">
      <formula>"L"</formula>
    </cfRule>
    <cfRule type="cellIs" priority="1761" operator="equal" dxfId="2">
      <formula>"D"</formula>
    </cfRule>
  </conditionalFormatting>
  <conditionalFormatting sqref="J23">
    <cfRule type="cellIs" priority="1762" operator="equal" dxfId="0">
      <formula>"W"</formula>
    </cfRule>
    <cfRule type="cellIs" priority="1763" operator="equal" dxfId="1">
      <formula>"L"</formula>
    </cfRule>
    <cfRule type="cellIs" priority="1764" operator="equal" dxfId="2">
      <formula>"D"</formula>
    </cfRule>
  </conditionalFormatting>
  <conditionalFormatting sqref="K23">
    <cfRule type="cellIs" priority="1765" operator="equal" dxfId="0">
      <formula>"W"</formula>
    </cfRule>
    <cfRule type="cellIs" priority="1766" operator="equal" dxfId="1">
      <formula>"L"</formula>
    </cfRule>
    <cfRule type="cellIs" priority="1767" operator="equal" dxfId="2">
      <formula>"D"</formula>
    </cfRule>
  </conditionalFormatting>
  <conditionalFormatting sqref="L23">
    <cfRule type="cellIs" priority="1768" operator="equal" dxfId="0">
      <formula>"W"</formula>
    </cfRule>
    <cfRule type="cellIs" priority="1769" operator="equal" dxfId="1">
      <formula>"L"</formula>
    </cfRule>
    <cfRule type="cellIs" priority="1770" operator="equal" dxfId="2">
      <formula>"D"</formula>
    </cfRule>
  </conditionalFormatting>
  <conditionalFormatting sqref="M23">
    <cfRule type="cellIs" priority="1771" operator="equal" dxfId="0">
      <formula>"W"</formula>
    </cfRule>
    <cfRule type="cellIs" priority="1772" operator="equal" dxfId="1">
      <formula>"L"</formula>
    </cfRule>
    <cfRule type="cellIs" priority="1773" operator="equal" dxfId="2">
      <formula>"D"</formula>
    </cfRule>
  </conditionalFormatting>
  <conditionalFormatting sqref="N23">
    <cfRule type="cellIs" priority="1774" operator="equal" dxfId="0">
      <formula>"W"</formula>
    </cfRule>
    <cfRule type="cellIs" priority="1775" operator="equal" dxfId="1">
      <formula>"L"</formula>
    </cfRule>
    <cfRule type="cellIs" priority="1776" operator="equal" dxfId="2">
      <formula>"D"</formula>
    </cfRule>
  </conditionalFormatting>
  <conditionalFormatting sqref="O23">
    <cfRule type="cellIs" priority="1777" operator="equal" dxfId="0">
      <formula>"W"</formula>
    </cfRule>
    <cfRule type="cellIs" priority="1778" operator="equal" dxfId="1">
      <formula>"L"</formula>
    </cfRule>
    <cfRule type="cellIs" priority="1779" operator="equal" dxfId="2">
      <formula>"D"</formula>
    </cfRule>
  </conditionalFormatting>
  <conditionalFormatting sqref="P23">
    <cfRule type="cellIs" priority="1780" operator="equal" dxfId="0">
      <formula>"W"</formula>
    </cfRule>
    <cfRule type="cellIs" priority="1781" operator="equal" dxfId="1">
      <formula>"L"</formula>
    </cfRule>
    <cfRule type="cellIs" priority="1782" operator="equal" dxfId="2">
      <formula>"D"</formula>
    </cfRule>
  </conditionalFormatting>
  <conditionalFormatting sqref="Q23">
    <cfRule type="cellIs" priority="1783" operator="equal" dxfId="0">
      <formula>"W"</formula>
    </cfRule>
    <cfRule type="cellIs" priority="1784" operator="equal" dxfId="1">
      <formula>"L"</formula>
    </cfRule>
    <cfRule type="cellIs" priority="1785" operator="equal" dxfId="2">
      <formula>"D"</formula>
    </cfRule>
  </conditionalFormatting>
  <conditionalFormatting sqref="R23">
    <cfRule type="cellIs" priority="1786" operator="equal" dxfId="0">
      <formula>"W"</formula>
    </cfRule>
    <cfRule type="cellIs" priority="1787" operator="equal" dxfId="1">
      <formula>"L"</formula>
    </cfRule>
    <cfRule type="cellIs" priority="1788" operator="equal" dxfId="2">
      <formula>"D"</formula>
    </cfRule>
  </conditionalFormatting>
  <conditionalFormatting sqref="S23">
    <cfRule type="cellIs" priority="1789" operator="equal" dxfId="0">
      <formula>"W"</formula>
    </cfRule>
    <cfRule type="cellIs" priority="1790" operator="equal" dxfId="1">
      <formula>"L"</formula>
    </cfRule>
    <cfRule type="cellIs" priority="1791" operator="equal" dxfId="2">
      <formula>"D"</formula>
    </cfRule>
  </conditionalFormatting>
  <conditionalFormatting sqref="T23">
    <cfRule type="cellIs" priority="1792" operator="equal" dxfId="0">
      <formula>"W"</formula>
    </cfRule>
    <cfRule type="cellIs" priority="1793" operator="equal" dxfId="1">
      <formula>"L"</formula>
    </cfRule>
    <cfRule type="cellIs" priority="1794" operator="equal" dxfId="2">
      <formula>"D"</formula>
    </cfRule>
  </conditionalFormatting>
  <conditionalFormatting sqref="U23">
    <cfRule type="cellIs" priority="1795" operator="equal" dxfId="0">
      <formula>"W"</formula>
    </cfRule>
    <cfRule type="cellIs" priority="1796" operator="equal" dxfId="1">
      <formula>"L"</formula>
    </cfRule>
    <cfRule type="cellIs" priority="1797" operator="equal" dxfId="2">
      <formula>"D"</formula>
    </cfRule>
  </conditionalFormatting>
  <conditionalFormatting sqref="V23">
    <cfRule type="cellIs" priority="1798" operator="equal" dxfId="0">
      <formula>"W"</formula>
    </cfRule>
    <cfRule type="cellIs" priority="1799" operator="equal" dxfId="1">
      <formula>"L"</formula>
    </cfRule>
    <cfRule type="cellIs" priority="1800" operator="equal" dxfId="2">
      <formula>"D"</formula>
    </cfRule>
  </conditionalFormatting>
  <conditionalFormatting sqref="X23">
    <cfRule type="cellIs" priority="1801" operator="equal" dxfId="0">
      <formula>"W"</formula>
    </cfRule>
    <cfRule type="cellIs" priority="1802" operator="equal" dxfId="1">
      <formula>"L"</formula>
    </cfRule>
    <cfRule type="cellIs" priority="1803" operator="equal" dxfId="2">
      <formula>"D"</formula>
    </cfRule>
  </conditionalFormatting>
  <conditionalFormatting sqref="Y23">
    <cfRule type="cellIs" priority="1804" operator="equal" dxfId="0">
      <formula>"W"</formula>
    </cfRule>
    <cfRule type="cellIs" priority="1805" operator="equal" dxfId="1">
      <formula>"L"</formula>
    </cfRule>
    <cfRule type="cellIs" priority="1806" operator="equal" dxfId="2">
      <formula>"D"</formula>
    </cfRule>
  </conditionalFormatting>
  <conditionalFormatting sqref="Z23">
    <cfRule type="cellIs" priority="1807" operator="equal" dxfId="0">
      <formula>"W"</formula>
    </cfRule>
    <cfRule type="cellIs" priority="1808" operator="equal" dxfId="1">
      <formula>"L"</formula>
    </cfRule>
    <cfRule type="cellIs" priority="1809" operator="equal" dxfId="2">
      <formula>"D"</formula>
    </cfRule>
  </conditionalFormatting>
  <conditionalFormatting sqref="AA23">
    <cfRule type="cellIs" priority="1810" operator="equal" dxfId="0">
      <formula>"W"</formula>
    </cfRule>
    <cfRule type="cellIs" priority="1811" operator="equal" dxfId="1">
      <formula>"L"</formula>
    </cfRule>
    <cfRule type="cellIs" priority="1812" operator="equal" dxfId="2">
      <formula>"D"</formula>
    </cfRule>
  </conditionalFormatting>
  <conditionalFormatting sqref="AB23">
    <cfRule type="cellIs" priority="1813" operator="equal" dxfId="0">
      <formula>"W"</formula>
    </cfRule>
    <cfRule type="cellIs" priority="1814" operator="equal" dxfId="1">
      <formula>"L"</formula>
    </cfRule>
    <cfRule type="cellIs" priority="1815" operator="equal" dxfId="2">
      <formula>"D"</formula>
    </cfRule>
  </conditionalFormatting>
  <conditionalFormatting sqref="AC23">
    <cfRule type="cellIs" priority="1816" operator="equal" dxfId="0">
      <formula>"W"</formula>
    </cfRule>
    <cfRule type="cellIs" priority="1817" operator="equal" dxfId="1">
      <formula>"L"</formula>
    </cfRule>
    <cfRule type="cellIs" priority="1818" operator="equal" dxfId="2">
      <formula>"D"</formula>
    </cfRule>
  </conditionalFormatting>
  <conditionalFormatting sqref="AD23">
    <cfRule type="cellIs" priority="1819" operator="equal" dxfId="0">
      <formula>"W"</formula>
    </cfRule>
    <cfRule type="cellIs" priority="1820" operator="equal" dxfId="1">
      <formula>"L"</formula>
    </cfRule>
    <cfRule type="cellIs" priority="1821" operator="equal" dxfId="2">
      <formula>"D"</formula>
    </cfRule>
  </conditionalFormatting>
  <conditionalFormatting sqref="AE23">
    <cfRule type="cellIs" priority="1822" operator="equal" dxfId="0">
      <formula>"W"</formula>
    </cfRule>
    <cfRule type="cellIs" priority="1823" operator="equal" dxfId="1">
      <formula>"L"</formula>
    </cfRule>
    <cfRule type="cellIs" priority="1824" operator="equal" dxfId="2">
      <formula>"D"</formula>
    </cfRule>
  </conditionalFormatting>
  <conditionalFormatting sqref="AF23">
    <cfRule type="cellIs" priority="1825" operator="equal" dxfId="0">
      <formula>"W"</formula>
    </cfRule>
    <cfRule type="cellIs" priority="1826" operator="equal" dxfId="1">
      <formula>"L"</formula>
    </cfRule>
    <cfRule type="cellIs" priority="1827" operator="equal" dxfId="2">
      <formula>"D"</formula>
    </cfRule>
  </conditionalFormatting>
  <conditionalFormatting sqref="C24">
    <cfRule type="cellIs" priority="1828" operator="equal" dxfId="0">
      <formula>"W"</formula>
    </cfRule>
    <cfRule type="cellIs" priority="1829" operator="equal" dxfId="1">
      <formula>"L"</formula>
    </cfRule>
    <cfRule type="cellIs" priority="1830" operator="equal" dxfId="2">
      <formula>"D"</formula>
    </cfRule>
  </conditionalFormatting>
  <conditionalFormatting sqref="D24">
    <cfRule type="cellIs" priority="1831" operator="equal" dxfId="0">
      <formula>"W"</formula>
    </cfRule>
    <cfRule type="cellIs" priority="1832" operator="equal" dxfId="1">
      <formula>"L"</formula>
    </cfRule>
    <cfRule type="cellIs" priority="1833" operator="equal" dxfId="2">
      <formula>"D"</formula>
    </cfRule>
  </conditionalFormatting>
  <conditionalFormatting sqref="E24">
    <cfRule type="cellIs" priority="1834" operator="equal" dxfId="0">
      <formula>"W"</formula>
    </cfRule>
    <cfRule type="cellIs" priority="1835" operator="equal" dxfId="1">
      <formula>"L"</formula>
    </cfRule>
    <cfRule type="cellIs" priority="1836" operator="equal" dxfId="2">
      <formula>"D"</formula>
    </cfRule>
  </conditionalFormatting>
  <conditionalFormatting sqref="F24">
    <cfRule type="cellIs" priority="1837" operator="equal" dxfId="0">
      <formula>"W"</formula>
    </cfRule>
    <cfRule type="cellIs" priority="1838" operator="equal" dxfId="1">
      <formula>"L"</formula>
    </cfRule>
    <cfRule type="cellIs" priority="1839" operator="equal" dxfId="2">
      <formula>"D"</formula>
    </cfRule>
  </conditionalFormatting>
  <conditionalFormatting sqref="G24">
    <cfRule type="cellIs" priority="1840" operator="equal" dxfId="0">
      <formula>"W"</formula>
    </cfRule>
    <cfRule type="cellIs" priority="1841" operator="equal" dxfId="1">
      <formula>"L"</formula>
    </cfRule>
    <cfRule type="cellIs" priority="1842" operator="equal" dxfId="2">
      <formula>"D"</formula>
    </cfRule>
  </conditionalFormatting>
  <conditionalFormatting sqref="H24">
    <cfRule type="cellIs" priority="1843" operator="equal" dxfId="0">
      <formula>"W"</formula>
    </cfRule>
    <cfRule type="cellIs" priority="1844" operator="equal" dxfId="1">
      <formula>"L"</formula>
    </cfRule>
    <cfRule type="cellIs" priority="1845" operator="equal" dxfId="2">
      <formula>"D"</formula>
    </cfRule>
  </conditionalFormatting>
  <conditionalFormatting sqref="I24">
    <cfRule type="cellIs" priority="1846" operator="equal" dxfId="0">
      <formula>"W"</formula>
    </cfRule>
    <cfRule type="cellIs" priority="1847" operator="equal" dxfId="1">
      <formula>"L"</formula>
    </cfRule>
    <cfRule type="cellIs" priority="1848" operator="equal" dxfId="2">
      <formula>"D"</formula>
    </cfRule>
  </conditionalFormatting>
  <conditionalFormatting sqref="J24">
    <cfRule type="cellIs" priority="1849" operator="equal" dxfId="0">
      <formula>"W"</formula>
    </cfRule>
    <cfRule type="cellIs" priority="1850" operator="equal" dxfId="1">
      <formula>"L"</formula>
    </cfRule>
    <cfRule type="cellIs" priority="1851" operator="equal" dxfId="2">
      <formula>"D"</formula>
    </cfRule>
  </conditionalFormatting>
  <conditionalFormatting sqref="K24">
    <cfRule type="cellIs" priority="1852" operator="equal" dxfId="0">
      <formula>"W"</formula>
    </cfRule>
    <cfRule type="cellIs" priority="1853" operator="equal" dxfId="1">
      <formula>"L"</formula>
    </cfRule>
    <cfRule type="cellIs" priority="1854" operator="equal" dxfId="2">
      <formula>"D"</formula>
    </cfRule>
  </conditionalFormatting>
  <conditionalFormatting sqref="L24">
    <cfRule type="cellIs" priority="1855" operator="equal" dxfId="0">
      <formula>"W"</formula>
    </cfRule>
    <cfRule type="cellIs" priority="1856" operator="equal" dxfId="1">
      <formula>"L"</formula>
    </cfRule>
    <cfRule type="cellIs" priority="1857" operator="equal" dxfId="2">
      <formula>"D"</formula>
    </cfRule>
  </conditionalFormatting>
  <conditionalFormatting sqref="M24">
    <cfRule type="cellIs" priority="1858" operator="equal" dxfId="0">
      <formula>"W"</formula>
    </cfRule>
    <cfRule type="cellIs" priority="1859" operator="equal" dxfId="1">
      <formula>"L"</formula>
    </cfRule>
    <cfRule type="cellIs" priority="1860" operator="equal" dxfId="2">
      <formula>"D"</formula>
    </cfRule>
  </conditionalFormatting>
  <conditionalFormatting sqref="N24">
    <cfRule type="cellIs" priority="1861" operator="equal" dxfId="0">
      <formula>"W"</formula>
    </cfRule>
    <cfRule type="cellIs" priority="1862" operator="equal" dxfId="1">
      <formula>"L"</formula>
    </cfRule>
    <cfRule type="cellIs" priority="1863" operator="equal" dxfId="2">
      <formula>"D"</formula>
    </cfRule>
  </conditionalFormatting>
  <conditionalFormatting sqref="O24">
    <cfRule type="cellIs" priority="1864" operator="equal" dxfId="0">
      <formula>"W"</formula>
    </cfRule>
    <cfRule type="cellIs" priority="1865" operator="equal" dxfId="1">
      <formula>"L"</formula>
    </cfRule>
    <cfRule type="cellIs" priority="1866" operator="equal" dxfId="2">
      <formula>"D"</formula>
    </cfRule>
  </conditionalFormatting>
  <conditionalFormatting sqref="P24">
    <cfRule type="cellIs" priority="1867" operator="equal" dxfId="0">
      <formula>"W"</formula>
    </cfRule>
    <cfRule type="cellIs" priority="1868" operator="equal" dxfId="1">
      <formula>"L"</formula>
    </cfRule>
    <cfRule type="cellIs" priority="1869" operator="equal" dxfId="2">
      <formula>"D"</formula>
    </cfRule>
  </conditionalFormatting>
  <conditionalFormatting sqref="Q24">
    <cfRule type="cellIs" priority="1870" operator="equal" dxfId="0">
      <formula>"W"</formula>
    </cfRule>
    <cfRule type="cellIs" priority="1871" operator="equal" dxfId="1">
      <formula>"L"</formula>
    </cfRule>
    <cfRule type="cellIs" priority="1872" operator="equal" dxfId="2">
      <formula>"D"</formula>
    </cfRule>
  </conditionalFormatting>
  <conditionalFormatting sqref="R24">
    <cfRule type="cellIs" priority="1873" operator="equal" dxfId="0">
      <formula>"W"</formula>
    </cfRule>
    <cfRule type="cellIs" priority="1874" operator="equal" dxfId="1">
      <formula>"L"</formula>
    </cfRule>
    <cfRule type="cellIs" priority="1875" operator="equal" dxfId="2">
      <formula>"D"</formula>
    </cfRule>
  </conditionalFormatting>
  <conditionalFormatting sqref="S24">
    <cfRule type="cellIs" priority="1876" operator="equal" dxfId="0">
      <formula>"W"</formula>
    </cfRule>
    <cfRule type="cellIs" priority="1877" operator="equal" dxfId="1">
      <formula>"L"</formula>
    </cfRule>
    <cfRule type="cellIs" priority="1878" operator="equal" dxfId="2">
      <formula>"D"</formula>
    </cfRule>
  </conditionalFormatting>
  <conditionalFormatting sqref="T24">
    <cfRule type="cellIs" priority="1879" operator="equal" dxfId="0">
      <formula>"W"</formula>
    </cfRule>
    <cfRule type="cellIs" priority="1880" operator="equal" dxfId="1">
      <formula>"L"</formula>
    </cfRule>
    <cfRule type="cellIs" priority="1881" operator="equal" dxfId="2">
      <formula>"D"</formula>
    </cfRule>
  </conditionalFormatting>
  <conditionalFormatting sqref="U24">
    <cfRule type="cellIs" priority="1882" operator="equal" dxfId="0">
      <formula>"W"</formula>
    </cfRule>
    <cfRule type="cellIs" priority="1883" operator="equal" dxfId="1">
      <formula>"L"</formula>
    </cfRule>
    <cfRule type="cellIs" priority="1884" operator="equal" dxfId="2">
      <formula>"D"</formula>
    </cfRule>
  </conditionalFormatting>
  <conditionalFormatting sqref="V24">
    <cfRule type="cellIs" priority="1885" operator="equal" dxfId="0">
      <formula>"W"</formula>
    </cfRule>
    <cfRule type="cellIs" priority="1886" operator="equal" dxfId="1">
      <formula>"L"</formula>
    </cfRule>
    <cfRule type="cellIs" priority="1887" operator="equal" dxfId="2">
      <formula>"D"</formula>
    </cfRule>
  </conditionalFormatting>
  <conditionalFormatting sqref="W24">
    <cfRule type="cellIs" priority="1888" operator="equal" dxfId="0">
      <formula>"W"</formula>
    </cfRule>
    <cfRule type="cellIs" priority="1889" operator="equal" dxfId="1">
      <formula>"L"</formula>
    </cfRule>
    <cfRule type="cellIs" priority="1890" operator="equal" dxfId="2">
      <formula>"D"</formula>
    </cfRule>
  </conditionalFormatting>
  <conditionalFormatting sqref="Y24">
    <cfRule type="cellIs" priority="1891" operator="equal" dxfId="0">
      <formula>"W"</formula>
    </cfRule>
    <cfRule type="cellIs" priority="1892" operator="equal" dxfId="1">
      <formula>"L"</formula>
    </cfRule>
    <cfRule type="cellIs" priority="1893" operator="equal" dxfId="2">
      <formula>"D"</formula>
    </cfRule>
  </conditionalFormatting>
  <conditionalFormatting sqref="Z24">
    <cfRule type="cellIs" priority="1894" operator="equal" dxfId="0">
      <formula>"W"</formula>
    </cfRule>
    <cfRule type="cellIs" priority="1895" operator="equal" dxfId="1">
      <formula>"L"</formula>
    </cfRule>
    <cfRule type="cellIs" priority="1896" operator="equal" dxfId="2">
      <formula>"D"</formula>
    </cfRule>
  </conditionalFormatting>
  <conditionalFormatting sqref="AA24">
    <cfRule type="cellIs" priority="1897" operator="equal" dxfId="0">
      <formula>"W"</formula>
    </cfRule>
    <cfRule type="cellIs" priority="1898" operator="equal" dxfId="1">
      <formula>"L"</formula>
    </cfRule>
    <cfRule type="cellIs" priority="1899" operator="equal" dxfId="2">
      <formula>"D"</formula>
    </cfRule>
  </conditionalFormatting>
  <conditionalFormatting sqref="AB24">
    <cfRule type="cellIs" priority="1900" operator="equal" dxfId="0">
      <formula>"W"</formula>
    </cfRule>
    <cfRule type="cellIs" priority="1901" operator="equal" dxfId="1">
      <formula>"L"</formula>
    </cfRule>
    <cfRule type="cellIs" priority="1902" operator="equal" dxfId="2">
      <formula>"D"</formula>
    </cfRule>
  </conditionalFormatting>
  <conditionalFormatting sqref="AC24">
    <cfRule type="cellIs" priority="1903" operator="equal" dxfId="0">
      <formula>"W"</formula>
    </cfRule>
    <cfRule type="cellIs" priority="1904" operator="equal" dxfId="1">
      <formula>"L"</formula>
    </cfRule>
    <cfRule type="cellIs" priority="1905" operator="equal" dxfId="2">
      <formula>"D"</formula>
    </cfRule>
  </conditionalFormatting>
  <conditionalFormatting sqref="AD24">
    <cfRule type="cellIs" priority="1906" operator="equal" dxfId="0">
      <formula>"W"</formula>
    </cfRule>
    <cfRule type="cellIs" priority="1907" operator="equal" dxfId="1">
      <formula>"L"</formula>
    </cfRule>
    <cfRule type="cellIs" priority="1908" operator="equal" dxfId="2">
      <formula>"D"</formula>
    </cfRule>
  </conditionalFormatting>
  <conditionalFormatting sqref="AE24">
    <cfRule type="cellIs" priority="1909" operator="equal" dxfId="0">
      <formula>"W"</formula>
    </cfRule>
    <cfRule type="cellIs" priority="1910" operator="equal" dxfId="1">
      <formula>"L"</formula>
    </cfRule>
    <cfRule type="cellIs" priority="1911" operator="equal" dxfId="2">
      <formula>"D"</formula>
    </cfRule>
  </conditionalFormatting>
  <conditionalFormatting sqref="AF24">
    <cfRule type="cellIs" priority="1912" operator="equal" dxfId="0">
      <formula>"W"</formula>
    </cfRule>
    <cfRule type="cellIs" priority="1913" operator="equal" dxfId="1">
      <formula>"L"</formula>
    </cfRule>
    <cfRule type="cellIs" priority="1914" operator="equal" dxfId="2">
      <formula>"D"</formula>
    </cfRule>
  </conditionalFormatting>
  <conditionalFormatting sqref="C25">
    <cfRule type="cellIs" priority="1915" operator="equal" dxfId="0">
      <formula>"W"</formula>
    </cfRule>
    <cfRule type="cellIs" priority="1916" operator="equal" dxfId="1">
      <formula>"L"</formula>
    </cfRule>
    <cfRule type="cellIs" priority="1917" operator="equal" dxfId="2">
      <formula>"D"</formula>
    </cfRule>
  </conditionalFormatting>
  <conditionalFormatting sqref="D25">
    <cfRule type="cellIs" priority="1918" operator="equal" dxfId="0">
      <formula>"W"</formula>
    </cfRule>
    <cfRule type="cellIs" priority="1919" operator="equal" dxfId="1">
      <formula>"L"</formula>
    </cfRule>
    <cfRule type="cellIs" priority="1920" operator="equal" dxfId="2">
      <formula>"D"</formula>
    </cfRule>
  </conditionalFormatting>
  <conditionalFormatting sqref="E25">
    <cfRule type="cellIs" priority="1921" operator="equal" dxfId="0">
      <formula>"W"</formula>
    </cfRule>
    <cfRule type="cellIs" priority="1922" operator="equal" dxfId="1">
      <formula>"L"</formula>
    </cfRule>
    <cfRule type="cellIs" priority="1923" operator="equal" dxfId="2">
      <formula>"D"</formula>
    </cfRule>
  </conditionalFormatting>
  <conditionalFormatting sqref="F25">
    <cfRule type="cellIs" priority="1924" operator="equal" dxfId="0">
      <formula>"W"</formula>
    </cfRule>
    <cfRule type="cellIs" priority="1925" operator="equal" dxfId="1">
      <formula>"L"</formula>
    </cfRule>
    <cfRule type="cellIs" priority="1926" operator="equal" dxfId="2">
      <formula>"D"</formula>
    </cfRule>
  </conditionalFormatting>
  <conditionalFormatting sqref="G25">
    <cfRule type="cellIs" priority="1927" operator="equal" dxfId="0">
      <formula>"W"</formula>
    </cfRule>
    <cfRule type="cellIs" priority="1928" operator="equal" dxfId="1">
      <formula>"L"</formula>
    </cfRule>
    <cfRule type="cellIs" priority="1929" operator="equal" dxfId="2">
      <formula>"D"</formula>
    </cfRule>
  </conditionalFormatting>
  <conditionalFormatting sqref="H25">
    <cfRule type="cellIs" priority="1930" operator="equal" dxfId="0">
      <formula>"W"</formula>
    </cfRule>
    <cfRule type="cellIs" priority="1931" operator="equal" dxfId="1">
      <formula>"L"</formula>
    </cfRule>
    <cfRule type="cellIs" priority="1932" operator="equal" dxfId="2">
      <formula>"D"</formula>
    </cfRule>
  </conditionalFormatting>
  <conditionalFormatting sqref="I25">
    <cfRule type="cellIs" priority="1933" operator="equal" dxfId="0">
      <formula>"W"</formula>
    </cfRule>
    <cfRule type="cellIs" priority="1934" operator="equal" dxfId="1">
      <formula>"L"</formula>
    </cfRule>
    <cfRule type="cellIs" priority="1935" operator="equal" dxfId="2">
      <formula>"D"</formula>
    </cfRule>
  </conditionalFormatting>
  <conditionalFormatting sqref="J25">
    <cfRule type="cellIs" priority="1936" operator="equal" dxfId="0">
      <formula>"W"</formula>
    </cfRule>
    <cfRule type="cellIs" priority="1937" operator="equal" dxfId="1">
      <formula>"L"</formula>
    </cfRule>
    <cfRule type="cellIs" priority="1938" operator="equal" dxfId="2">
      <formula>"D"</formula>
    </cfRule>
  </conditionalFormatting>
  <conditionalFormatting sqref="K25">
    <cfRule type="cellIs" priority="1939" operator="equal" dxfId="0">
      <formula>"W"</formula>
    </cfRule>
    <cfRule type="cellIs" priority="1940" operator="equal" dxfId="1">
      <formula>"L"</formula>
    </cfRule>
    <cfRule type="cellIs" priority="1941" operator="equal" dxfId="2">
      <formula>"D"</formula>
    </cfRule>
  </conditionalFormatting>
  <conditionalFormatting sqref="L25">
    <cfRule type="cellIs" priority="1942" operator="equal" dxfId="0">
      <formula>"W"</formula>
    </cfRule>
    <cfRule type="cellIs" priority="1943" operator="equal" dxfId="1">
      <formula>"L"</formula>
    </cfRule>
    <cfRule type="cellIs" priority="1944" operator="equal" dxfId="2">
      <formula>"D"</formula>
    </cfRule>
  </conditionalFormatting>
  <conditionalFormatting sqref="M25">
    <cfRule type="cellIs" priority="1945" operator="equal" dxfId="0">
      <formula>"W"</formula>
    </cfRule>
    <cfRule type="cellIs" priority="1946" operator="equal" dxfId="1">
      <formula>"L"</formula>
    </cfRule>
    <cfRule type="cellIs" priority="1947" operator="equal" dxfId="2">
      <formula>"D"</formula>
    </cfRule>
  </conditionalFormatting>
  <conditionalFormatting sqref="N25">
    <cfRule type="cellIs" priority="1948" operator="equal" dxfId="0">
      <formula>"W"</formula>
    </cfRule>
    <cfRule type="cellIs" priority="1949" operator="equal" dxfId="1">
      <formula>"L"</formula>
    </cfRule>
    <cfRule type="cellIs" priority="1950" operator="equal" dxfId="2">
      <formula>"D"</formula>
    </cfRule>
  </conditionalFormatting>
  <conditionalFormatting sqref="O25">
    <cfRule type="cellIs" priority="1951" operator="equal" dxfId="0">
      <formula>"W"</formula>
    </cfRule>
    <cfRule type="cellIs" priority="1952" operator="equal" dxfId="1">
      <formula>"L"</formula>
    </cfRule>
    <cfRule type="cellIs" priority="1953" operator="equal" dxfId="2">
      <formula>"D"</formula>
    </cfRule>
  </conditionalFormatting>
  <conditionalFormatting sqref="P25">
    <cfRule type="cellIs" priority="1954" operator="equal" dxfId="0">
      <formula>"W"</formula>
    </cfRule>
    <cfRule type="cellIs" priority="1955" operator="equal" dxfId="1">
      <formula>"L"</formula>
    </cfRule>
    <cfRule type="cellIs" priority="1956" operator="equal" dxfId="2">
      <formula>"D"</formula>
    </cfRule>
  </conditionalFormatting>
  <conditionalFormatting sqref="Q25">
    <cfRule type="cellIs" priority="1957" operator="equal" dxfId="0">
      <formula>"W"</formula>
    </cfRule>
    <cfRule type="cellIs" priority="1958" operator="equal" dxfId="1">
      <formula>"L"</formula>
    </cfRule>
    <cfRule type="cellIs" priority="1959" operator="equal" dxfId="2">
      <formula>"D"</formula>
    </cfRule>
  </conditionalFormatting>
  <conditionalFormatting sqref="R25">
    <cfRule type="cellIs" priority="1960" operator="equal" dxfId="0">
      <formula>"W"</formula>
    </cfRule>
    <cfRule type="cellIs" priority="1961" operator="equal" dxfId="1">
      <formula>"L"</formula>
    </cfRule>
    <cfRule type="cellIs" priority="1962" operator="equal" dxfId="2">
      <formula>"D"</formula>
    </cfRule>
  </conditionalFormatting>
  <conditionalFormatting sqref="S25">
    <cfRule type="cellIs" priority="1963" operator="equal" dxfId="0">
      <formula>"W"</formula>
    </cfRule>
    <cfRule type="cellIs" priority="1964" operator="equal" dxfId="1">
      <formula>"L"</formula>
    </cfRule>
    <cfRule type="cellIs" priority="1965" operator="equal" dxfId="2">
      <formula>"D"</formula>
    </cfRule>
  </conditionalFormatting>
  <conditionalFormatting sqref="T25">
    <cfRule type="cellIs" priority="1966" operator="equal" dxfId="0">
      <formula>"W"</formula>
    </cfRule>
    <cfRule type="cellIs" priority="1967" operator="equal" dxfId="1">
      <formula>"L"</formula>
    </cfRule>
    <cfRule type="cellIs" priority="1968" operator="equal" dxfId="2">
      <formula>"D"</formula>
    </cfRule>
  </conditionalFormatting>
  <conditionalFormatting sqref="U25">
    <cfRule type="cellIs" priority="1969" operator="equal" dxfId="0">
      <formula>"W"</formula>
    </cfRule>
    <cfRule type="cellIs" priority="1970" operator="equal" dxfId="1">
      <formula>"L"</formula>
    </cfRule>
    <cfRule type="cellIs" priority="1971" operator="equal" dxfId="2">
      <formula>"D"</formula>
    </cfRule>
  </conditionalFormatting>
  <conditionalFormatting sqref="V25">
    <cfRule type="cellIs" priority="1972" operator="equal" dxfId="0">
      <formula>"W"</formula>
    </cfRule>
    <cfRule type="cellIs" priority="1973" operator="equal" dxfId="1">
      <formula>"L"</formula>
    </cfRule>
    <cfRule type="cellIs" priority="1974" operator="equal" dxfId="2">
      <formula>"D"</formula>
    </cfRule>
  </conditionalFormatting>
  <conditionalFormatting sqref="W25">
    <cfRule type="cellIs" priority="1975" operator="equal" dxfId="0">
      <formula>"W"</formula>
    </cfRule>
    <cfRule type="cellIs" priority="1976" operator="equal" dxfId="1">
      <formula>"L"</formula>
    </cfRule>
    <cfRule type="cellIs" priority="1977" operator="equal" dxfId="2">
      <formula>"D"</formula>
    </cfRule>
  </conditionalFormatting>
  <conditionalFormatting sqref="X25">
    <cfRule type="cellIs" priority="1978" operator="equal" dxfId="0">
      <formula>"W"</formula>
    </cfRule>
    <cfRule type="cellIs" priority="1979" operator="equal" dxfId="1">
      <formula>"L"</formula>
    </cfRule>
    <cfRule type="cellIs" priority="1980" operator="equal" dxfId="2">
      <formula>"D"</formula>
    </cfRule>
  </conditionalFormatting>
  <conditionalFormatting sqref="Z25">
    <cfRule type="cellIs" priority="1981" operator="equal" dxfId="0">
      <formula>"W"</formula>
    </cfRule>
    <cfRule type="cellIs" priority="1982" operator="equal" dxfId="1">
      <formula>"L"</formula>
    </cfRule>
    <cfRule type="cellIs" priority="1983" operator="equal" dxfId="2">
      <formula>"D"</formula>
    </cfRule>
  </conditionalFormatting>
  <conditionalFormatting sqref="AA25">
    <cfRule type="cellIs" priority="1984" operator="equal" dxfId="0">
      <formula>"W"</formula>
    </cfRule>
    <cfRule type="cellIs" priority="1985" operator="equal" dxfId="1">
      <formula>"L"</formula>
    </cfRule>
    <cfRule type="cellIs" priority="1986" operator="equal" dxfId="2">
      <formula>"D"</formula>
    </cfRule>
  </conditionalFormatting>
  <conditionalFormatting sqref="AB25">
    <cfRule type="cellIs" priority="1987" operator="equal" dxfId="0">
      <formula>"W"</formula>
    </cfRule>
    <cfRule type="cellIs" priority="1988" operator="equal" dxfId="1">
      <formula>"L"</formula>
    </cfRule>
    <cfRule type="cellIs" priority="1989" operator="equal" dxfId="2">
      <formula>"D"</formula>
    </cfRule>
  </conditionalFormatting>
  <conditionalFormatting sqref="AC25">
    <cfRule type="cellIs" priority="1990" operator="equal" dxfId="0">
      <formula>"W"</formula>
    </cfRule>
    <cfRule type="cellIs" priority="1991" operator="equal" dxfId="1">
      <formula>"L"</formula>
    </cfRule>
    <cfRule type="cellIs" priority="1992" operator="equal" dxfId="2">
      <formula>"D"</formula>
    </cfRule>
  </conditionalFormatting>
  <conditionalFormatting sqref="AD25">
    <cfRule type="cellIs" priority="1993" operator="equal" dxfId="0">
      <formula>"W"</formula>
    </cfRule>
    <cfRule type="cellIs" priority="1994" operator="equal" dxfId="1">
      <formula>"L"</formula>
    </cfRule>
    <cfRule type="cellIs" priority="1995" operator="equal" dxfId="2">
      <formula>"D"</formula>
    </cfRule>
  </conditionalFormatting>
  <conditionalFormatting sqref="AE25">
    <cfRule type="cellIs" priority="1996" operator="equal" dxfId="0">
      <formula>"W"</formula>
    </cfRule>
    <cfRule type="cellIs" priority="1997" operator="equal" dxfId="1">
      <formula>"L"</formula>
    </cfRule>
    <cfRule type="cellIs" priority="1998" operator="equal" dxfId="2">
      <formula>"D"</formula>
    </cfRule>
  </conditionalFormatting>
  <conditionalFormatting sqref="AF25">
    <cfRule type="cellIs" priority="1999" operator="equal" dxfId="0">
      <formula>"W"</formula>
    </cfRule>
    <cfRule type="cellIs" priority="2000" operator="equal" dxfId="1">
      <formula>"L"</formula>
    </cfRule>
    <cfRule type="cellIs" priority="2001" operator="equal" dxfId="2">
      <formula>"D"</formula>
    </cfRule>
  </conditionalFormatting>
  <conditionalFormatting sqref="C26">
    <cfRule type="cellIs" priority="2002" operator="equal" dxfId="0">
      <formula>"W"</formula>
    </cfRule>
    <cfRule type="cellIs" priority="2003" operator="equal" dxfId="1">
      <formula>"L"</formula>
    </cfRule>
    <cfRule type="cellIs" priority="2004" operator="equal" dxfId="2">
      <formula>"D"</formula>
    </cfRule>
  </conditionalFormatting>
  <conditionalFormatting sqref="D26">
    <cfRule type="cellIs" priority="2005" operator="equal" dxfId="0">
      <formula>"W"</formula>
    </cfRule>
    <cfRule type="cellIs" priority="2006" operator="equal" dxfId="1">
      <formula>"L"</formula>
    </cfRule>
    <cfRule type="cellIs" priority="2007" operator="equal" dxfId="2">
      <formula>"D"</formula>
    </cfRule>
  </conditionalFormatting>
  <conditionalFormatting sqref="E26">
    <cfRule type="cellIs" priority="2008" operator="equal" dxfId="0">
      <formula>"W"</formula>
    </cfRule>
    <cfRule type="cellIs" priority="2009" operator="equal" dxfId="1">
      <formula>"L"</formula>
    </cfRule>
    <cfRule type="cellIs" priority="2010" operator="equal" dxfId="2">
      <formula>"D"</formula>
    </cfRule>
  </conditionalFormatting>
  <conditionalFormatting sqref="F26">
    <cfRule type="cellIs" priority="2011" operator="equal" dxfId="0">
      <formula>"W"</formula>
    </cfRule>
    <cfRule type="cellIs" priority="2012" operator="equal" dxfId="1">
      <formula>"L"</formula>
    </cfRule>
    <cfRule type="cellIs" priority="2013" operator="equal" dxfId="2">
      <formula>"D"</formula>
    </cfRule>
  </conditionalFormatting>
  <conditionalFormatting sqref="G26">
    <cfRule type="cellIs" priority="2014" operator="equal" dxfId="0">
      <formula>"W"</formula>
    </cfRule>
    <cfRule type="cellIs" priority="2015" operator="equal" dxfId="1">
      <formula>"L"</formula>
    </cfRule>
    <cfRule type="cellIs" priority="2016" operator="equal" dxfId="2">
      <formula>"D"</formula>
    </cfRule>
  </conditionalFormatting>
  <conditionalFormatting sqref="H26">
    <cfRule type="cellIs" priority="2017" operator="equal" dxfId="0">
      <formula>"W"</formula>
    </cfRule>
    <cfRule type="cellIs" priority="2018" operator="equal" dxfId="1">
      <formula>"L"</formula>
    </cfRule>
    <cfRule type="cellIs" priority="2019" operator="equal" dxfId="2">
      <formula>"D"</formula>
    </cfRule>
  </conditionalFormatting>
  <conditionalFormatting sqref="I26">
    <cfRule type="cellIs" priority="2020" operator="equal" dxfId="0">
      <formula>"W"</formula>
    </cfRule>
    <cfRule type="cellIs" priority="2021" operator="equal" dxfId="1">
      <formula>"L"</formula>
    </cfRule>
    <cfRule type="cellIs" priority="2022" operator="equal" dxfId="2">
      <formula>"D"</formula>
    </cfRule>
  </conditionalFormatting>
  <conditionalFormatting sqref="J26">
    <cfRule type="cellIs" priority="2023" operator="equal" dxfId="0">
      <formula>"W"</formula>
    </cfRule>
    <cfRule type="cellIs" priority="2024" operator="equal" dxfId="1">
      <formula>"L"</formula>
    </cfRule>
    <cfRule type="cellIs" priority="2025" operator="equal" dxfId="2">
      <formula>"D"</formula>
    </cfRule>
  </conditionalFormatting>
  <conditionalFormatting sqref="K26">
    <cfRule type="cellIs" priority="2026" operator="equal" dxfId="0">
      <formula>"W"</formula>
    </cfRule>
    <cfRule type="cellIs" priority="2027" operator="equal" dxfId="1">
      <formula>"L"</formula>
    </cfRule>
    <cfRule type="cellIs" priority="2028" operator="equal" dxfId="2">
      <formula>"D"</formula>
    </cfRule>
  </conditionalFormatting>
  <conditionalFormatting sqref="L26">
    <cfRule type="cellIs" priority="2029" operator="equal" dxfId="0">
      <formula>"W"</formula>
    </cfRule>
    <cfRule type="cellIs" priority="2030" operator="equal" dxfId="1">
      <formula>"L"</formula>
    </cfRule>
    <cfRule type="cellIs" priority="2031" operator="equal" dxfId="2">
      <formula>"D"</formula>
    </cfRule>
  </conditionalFormatting>
  <conditionalFormatting sqref="M26">
    <cfRule type="cellIs" priority="2032" operator="equal" dxfId="0">
      <formula>"W"</formula>
    </cfRule>
    <cfRule type="cellIs" priority="2033" operator="equal" dxfId="1">
      <formula>"L"</formula>
    </cfRule>
    <cfRule type="cellIs" priority="2034" operator="equal" dxfId="2">
      <formula>"D"</formula>
    </cfRule>
  </conditionalFormatting>
  <conditionalFormatting sqref="N26">
    <cfRule type="cellIs" priority="2035" operator="equal" dxfId="0">
      <formula>"W"</formula>
    </cfRule>
    <cfRule type="cellIs" priority="2036" operator="equal" dxfId="1">
      <formula>"L"</formula>
    </cfRule>
    <cfRule type="cellIs" priority="2037" operator="equal" dxfId="2">
      <formula>"D"</formula>
    </cfRule>
  </conditionalFormatting>
  <conditionalFormatting sqref="O26">
    <cfRule type="cellIs" priority="2038" operator="equal" dxfId="0">
      <formula>"W"</formula>
    </cfRule>
    <cfRule type="cellIs" priority="2039" operator="equal" dxfId="1">
      <formula>"L"</formula>
    </cfRule>
    <cfRule type="cellIs" priority="2040" operator="equal" dxfId="2">
      <formula>"D"</formula>
    </cfRule>
  </conditionalFormatting>
  <conditionalFormatting sqref="P26">
    <cfRule type="cellIs" priority="2041" operator="equal" dxfId="0">
      <formula>"W"</formula>
    </cfRule>
    <cfRule type="cellIs" priority="2042" operator="equal" dxfId="1">
      <formula>"L"</formula>
    </cfRule>
    <cfRule type="cellIs" priority="2043" operator="equal" dxfId="2">
      <formula>"D"</formula>
    </cfRule>
  </conditionalFormatting>
  <conditionalFormatting sqref="Q26">
    <cfRule type="cellIs" priority="2044" operator="equal" dxfId="0">
      <formula>"W"</formula>
    </cfRule>
    <cfRule type="cellIs" priority="2045" operator="equal" dxfId="1">
      <formula>"L"</formula>
    </cfRule>
    <cfRule type="cellIs" priority="2046" operator="equal" dxfId="2">
      <formula>"D"</formula>
    </cfRule>
  </conditionalFormatting>
  <conditionalFormatting sqref="R26">
    <cfRule type="cellIs" priority="2047" operator="equal" dxfId="0">
      <formula>"W"</formula>
    </cfRule>
    <cfRule type="cellIs" priority="2048" operator="equal" dxfId="1">
      <formula>"L"</formula>
    </cfRule>
    <cfRule type="cellIs" priority="2049" operator="equal" dxfId="2">
      <formula>"D"</formula>
    </cfRule>
  </conditionalFormatting>
  <conditionalFormatting sqref="S26">
    <cfRule type="cellIs" priority="2050" operator="equal" dxfId="0">
      <formula>"W"</formula>
    </cfRule>
    <cfRule type="cellIs" priority="2051" operator="equal" dxfId="1">
      <formula>"L"</formula>
    </cfRule>
    <cfRule type="cellIs" priority="2052" operator="equal" dxfId="2">
      <formula>"D"</formula>
    </cfRule>
  </conditionalFormatting>
  <conditionalFormatting sqref="T26">
    <cfRule type="cellIs" priority="2053" operator="equal" dxfId="0">
      <formula>"W"</formula>
    </cfRule>
    <cfRule type="cellIs" priority="2054" operator="equal" dxfId="1">
      <formula>"L"</formula>
    </cfRule>
    <cfRule type="cellIs" priority="2055" operator="equal" dxfId="2">
      <formula>"D"</formula>
    </cfRule>
  </conditionalFormatting>
  <conditionalFormatting sqref="U26">
    <cfRule type="cellIs" priority="2056" operator="equal" dxfId="0">
      <formula>"W"</formula>
    </cfRule>
    <cfRule type="cellIs" priority="2057" operator="equal" dxfId="1">
      <formula>"L"</formula>
    </cfRule>
    <cfRule type="cellIs" priority="2058" operator="equal" dxfId="2">
      <formula>"D"</formula>
    </cfRule>
  </conditionalFormatting>
  <conditionalFormatting sqref="V26">
    <cfRule type="cellIs" priority="2059" operator="equal" dxfId="0">
      <formula>"W"</formula>
    </cfRule>
    <cfRule type="cellIs" priority="2060" operator="equal" dxfId="1">
      <formula>"L"</formula>
    </cfRule>
    <cfRule type="cellIs" priority="2061" operator="equal" dxfId="2">
      <formula>"D"</formula>
    </cfRule>
  </conditionalFormatting>
  <conditionalFormatting sqref="W26">
    <cfRule type="cellIs" priority="2062" operator="equal" dxfId="0">
      <formula>"W"</formula>
    </cfRule>
    <cfRule type="cellIs" priority="2063" operator="equal" dxfId="1">
      <formula>"L"</formula>
    </cfRule>
    <cfRule type="cellIs" priority="2064" operator="equal" dxfId="2">
      <formula>"D"</formula>
    </cfRule>
  </conditionalFormatting>
  <conditionalFormatting sqref="X26">
    <cfRule type="cellIs" priority="2065" operator="equal" dxfId="0">
      <formula>"W"</formula>
    </cfRule>
    <cfRule type="cellIs" priority="2066" operator="equal" dxfId="1">
      <formula>"L"</formula>
    </cfRule>
    <cfRule type="cellIs" priority="2067" operator="equal" dxfId="2">
      <formula>"D"</formula>
    </cfRule>
  </conditionalFormatting>
  <conditionalFormatting sqref="Y26">
    <cfRule type="cellIs" priority="2068" operator="equal" dxfId="0">
      <formula>"W"</formula>
    </cfRule>
    <cfRule type="cellIs" priority="2069" operator="equal" dxfId="1">
      <formula>"L"</formula>
    </cfRule>
    <cfRule type="cellIs" priority="2070" operator="equal" dxfId="2">
      <formula>"D"</formula>
    </cfRule>
  </conditionalFormatting>
  <conditionalFormatting sqref="AA26">
    <cfRule type="cellIs" priority="2071" operator="equal" dxfId="0">
      <formula>"W"</formula>
    </cfRule>
    <cfRule type="cellIs" priority="2072" operator="equal" dxfId="1">
      <formula>"L"</formula>
    </cfRule>
    <cfRule type="cellIs" priority="2073" operator="equal" dxfId="2">
      <formula>"D"</formula>
    </cfRule>
  </conditionalFormatting>
  <conditionalFormatting sqref="AB26">
    <cfRule type="cellIs" priority="2074" operator="equal" dxfId="0">
      <formula>"W"</formula>
    </cfRule>
    <cfRule type="cellIs" priority="2075" operator="equal" dxfId="1">
      <formula>"L"</formula>
    </cfRule>
    <cfRule type="cellIs" priority="2076" operator="equal" dxfId="2">
      <formula>"D"</formula>
    </cfRule>
  </conditionalFormatting>
  <conditionalFormatting sqref="AC26">
    <cfRule type="cellIs" priority="2077" operator="equal" dxfId="0">
      <formula>"W"</formula>
    </cfRule>
    <cfRule type="cellIs" priority="2078" operator="equal" dxfId="1">
      <formula>"L"</formula>
    </cfRule>
    <cfRule type="cellIs" priority="2079" operator="equal" dxfId="2">
      <formula>"D"</formula>
    </cfRule>
  </conditionalFormatting>
  <conditionalFormatting sqref="AD26">
    <cfRule type="cellIs" priority="2080" operator="equal" dxfId="0">
      <formula>"W"</formula>
    </cfRule>
    <cfRule type="cellIs" priority="2081" operator="equal" dxfId="1">
      <formula>"L"</formula>
    </cfRule>
    <cfRule type="cellIs" priority="2082" operator="equal" dxfId="2">
      <formula>"D"</formula>
    </cfRule>
  </conditionalFormatting>
  <conditionalFormatting sqref="AE26">
    <cfRule type="cellIs" priority="2083" operator="equal" dxfId="0">
      <formula>"W"</formula>
    </cfRule>
    <cfRule type="cellIs" priority="2084" operator="equal" dxfId="1">
      <formula>"L"</formula>
    </cfRule>
    <cfRule type="cellIs" priority="2085" operator="equal" dxfId="2">
      <formula>"D"</formula>
    </cfRule>
  </conditionalFormatting>
  <conditionalFormatting sqref="AF26">
    <cfRule type="cellIs" priority="2086" operator="equal" dxfId="0">
      <formula>"W"</formula>
    </cfRule>
    <cfRule type="cellIs" priority="2087" operator="equal" dxfId="1">
      <formula>"L"</formula>
    </cfRule>
    <cfRule type="cellIs" priority="2088" operator="equal" dxfId="2">
      <formula>"D"</formula>
    </cfRule>
  </conditionalFormatting>
  <conditionalFormatting sqref="C27">
    <cfRule type="cellIs" priority="2089" operator="equal" dxfId="0">
      <formula>"W"</formula>
    </cfRule>
    <cfRule type="cellIs" priority="2090" operator="equal" dxfId="1">
      <formula>"L"</formula>
    </cfRule>
    <cfRule type="cellIs" priority="2091" operator="equal" dxfId="2">
      <formula>"D"</formula>
    </cfRule>
  </conditionalFormatting>
  <conditionalFormatting sqref="D27">
    <cfRule type="cellIs" priority="2092" operator="equal" dxfId="0">
      <formula>"W"</formula>
    </cfRule>
    <cfRule type="cellIs" priority="2093" operator="equal" dxfId="1">
      <formula>"L"</formula>
    </cfRule>
    <cfRule type="cellIs" priority="2094" operator="equal" dxfId="2">
      <formula>"D"</formula>
    </cfRule>
  </conditionalFormatting>
  <conditionalFormatting sqref="E27">
    <cfRule type="cellIs" priority="2095" operator="equal" dxfId="0">
      <formula>"W"</formula>
    </cfRule>
    <cfRule type="cellIs" priority="2096" operator="equal" dxfId="1">
      <formula>"L"</formula>
    </cfRule>
    <cfRule type="cellIs" priority="2097" operator="equal" dxfId="2">
      <formula>"D"</formula>
    </cfRule>
  </conditionalFormatting>
  <conditionalFormatting sqref="F27">
    <cfRule type="cellIs" priority="2098" operator="equal" dxfId="0">
      <formula>"W"</formula>
    </cfRule>
    <cfRule type="cellIs" priority="2099" operator="equal" dxfId="1">
      <formula>"L"</formula>
    </cfRule>
    <cfRule type="cellIs" priority="2100" operator="equal" dxfId="2">
      <formula>"D"</formula>
    </cfRule>
  </conditionalFormatting>
  <conditionalFormatting sqref="G27">
    <cfRule type="cellIs" priority="2101" operator="equal" dxfId="0">
      <formula>"W"</formula>
    </cfRule>
    <cfRule type="cellIs" priority="2102" operator="equal" dxfId="1">
      <formula>"L"</formula>
    </cfRule>
    <cfRule type="cellIs" priority="2103" operator="equal" dxfId="2">
      <formula>"D"</formula>
    </cfRule>
  </conditionalFormatting>
  <conditionalFormatting sqref="H27">
    <cfRule type="cellIs" priority="2104" operator="equal" dxfId="0">
      <formula>"W"</formula>
    </cfRule>
    <cfRule type="cellIs" priority="2105" operator="equal" dxfId="1">
      <formula>"L"</formula>
    </cfRule>
    <cfRule type="cellIs" priority="2106" operator="equal" dxfId="2">
      <formula>"D"</formula>
    </cfRule>
  </conditionalFormatting>
  <conditionalFormatting sqref="I27">
    <cfRule type="cellIs" priority="2107" operator="equal" dxfId="0">
      <formula>"W"</formula>
    </cfRule>
    <cfRule type="cellIs" priority="2108" operator="equal" dxfId="1">
      <formula>"L"</formula>
    </cfRule>
    <cfRule type="cellIs" priority="2109" operator="equal" dxfId="2">
      <formula>"D"</formula>
    </cfRule>
  </conditionalFormatting>
  <conditionalFormatting sqref="J27">
    <cfRule type="cellIs" priority="2110" operator="equal" dxfId="0">
      <formula>"W"</formula>
    </cfRule>
    <cfRule type="cellIs" priority="2111" operator="equal" dxfId="1">
      <formula>"L"</formula>
    </cfRule>
    <cfRule type="cellIs" priority="2112" operator="equal" dxfId="2">
      <formula>"D"</formula>
    </cfRule>
  </conditionalFormatting>
  <conditionalFormatting sqref="K27">
    <cfRule type="cellIs" priority="2113" operator="equal" dxfId="0">
      <formula>"W"</formula>
    </cfRule>
    <cfRule type="cellIs" priority="2114" operator="equal" dxfId="1">
      <formula>"L"</formula>
    </cfRule>
    <cfRule type="cellIs" priority="2115" operator="equal" dxfId="2">
      <formula>"D"</formula>
    </cfRule>
  </conditionalFormatting>
  <conditionalFormatting sqref="L27">
    <cfRule type="cellIs" priority="2116" operator="equal" dxfId="0">
      <formula>"W"</formula>
    </cfRule>
    <cfRule type="cellIs" priority="2117" operator="equal" dxfId="1">
      <formula>"L"</formula>
    </cfRule>
    <cfRule type="cellIs" priority="2118" operator="equal" dxfId="2">
      <formula>"D"</formula>
    </cfRule>
  </conditionalFormatting>
  <conditionalFormatting sqref="M27">
    <cfRule type="cellIs" priority="2119" operator="equal" dxfId="0">
      <formula>"W"</formula>
    </cfRule>
    <cfRule type="cellIs" priority="2120" operator="equal" dxfId="1">
      <formula>"L"</formula>
    </cfRule>
    <cfRule type="cellIs" priority="2121" operator="equal" dxfId="2">
      <formula>"D"</formula>
    </cfRule>
  </conditionalFormatting>
  <conditionalFormatting sqref="N27">
    <cfRule type="cellIs" priority="2122" operator="equal" dxfId="0">
      <formula>"W"</formula>
    </cfRule>
    <cfRule type="cellIs" priority="2123" operator="equal" dxfId="1">
      <formula>"L"</formula>
    </cfRule>
    <cfRule type="cellIs" priority="2124" operator="equal" dxfId="2">
      <formula>"D"</formula>
    </cfRule>
  </conditionalFormatting>
  <conditionalFormatting sqref="O27">
    <cfRule type="cellIs" priority="2125" operator="equal" dxfId="0">
      <formula>"W"</formula>
    </cfRule>
    <cfRule type="cellIs" priority="2126" operator="equal" dxfId="1">
      <formula>"L"</formula>
    </cfRule>
    <cfRule type="cellIs" priority="2127" operator="equal" dxfId="2">
      <formula>"D"</formula>
    </cfRule>
  </conditionalFormatting>
  <conditionalFormatting sqref="P27">
    <cfRule type="cellIs" priority="2128" operator="equal" dxfId="0">
      <formula>"W"</formula>
    </cfRule>
    <cfRule type="cellIs" priority="2129" operator="equal" dxfId="1">
      <formula>"L"</formula>
    </cfRule>
    <cfRule type="cellIs" priority="2130" operator="equal" dxfId="2">
      <formula>"D"</formula>
    </cfRule>
  </conditionalFormatting>
  <conditionalFormatting sqref="Q27">
    <cfRule type="cellIs" priority="2131" operator="equal" dxfId="0">
      <formula>"W"</formula>
    </cfRule>
    <cfRule type="cellIs" priority="2132" operator="equal" dxfId="1">
      <formula>"L"</formula>
    </cfRule>
    <cfRule type="cellIs" priority="2133" operator="equal" dxfId="2">
      <formula>"D"</formula>
    </cfRule>
  </conditionalFormatting>
  <conditionalFormatting sqref="R27">
    <cfRule type="cellIs" priority="2134" operator="equal" dxfId="0">
      <formula>"W"</formula>
    </cfRule>
    <cfRule type="cellIs" priority="2135" operator="equal" dxfId="1">
      <formula>"L"</formula>
    </cfRule>
    <cfRule type="cellIs" priority="2136" operator="equal" dxfId="2">
      <formula>"D"</formula>
    </cfRule>
  </conditionalFormatting>
  <conditionalFormatting sqref="S27">
    <cfRule type="cellIs" priority="2137" operator="equal" dxfId="0">
      <formula>"W"</formula>
    </cfRule>
    <cfRule type="cellIs" priority="2138" operator="equal" dxfId="1">
      <formula>"L"</formula>
    </cfRule>
    <cfRule type="cellIs" priority="2139" operator="equal" dxfId="2">
      <formula>"D"</formula>
    </cfRule>
  </conditionalFormatting>
  <conditionalFormatting sqref="T27">
    <cfRule type="cellIs" priority="2140" operator="equal" dxfId="0">
      <formula>"W"</formula>
    </cfRule>
    <cfRule type="cellIs" priority="2141" operator="equal" dxfId="1">
      <formula>"L"</formula>
    </cfRule>
    <cfRule type="cellIs" priority="2142" operator="equal" dxfId="2">
      <formula>"D"</formula>
    </cfRule>
  </conditionalFormatting>
  <conditionalFormatting sqref="U27">
    <cfRule type="cellIs" priority="2143" operator="equal" dxfId="0">
      <formula>"W"</formula>
    </cfRule>
    <cfRule type="cellIs" priority="2144" operator="equal" dxfId="1">
      <formula>"L"</formula>
    </cfRule>
    <cfRule type="cellIs" priority="2145" operator="equal" dxfId="2">
      <formula>"D"</formula>
    </cfRule>
  </conditionalFormatting>
  <conditionalFormatting sqref="V27">
    <cfRule type="cellIs" priority="2146" operator="equal" dxfId="0">
      <formula>"W"</formula>
    </cfRule>
    <cfRule type="cellIs" priority="2147" operator="equal" dxfId="1">
      <formula>"L"</formula>
    </cfRule>
    <cfRule type="cellIs" priority="2148" operator="equal" dxfId="2">
      <formula>"D"</formula>
    </cfRule>
  </conditionalFormatting>
  <conditionalFormatting sqref="W27">
    <cfRule type="cellIs" priority="2149" operator="equal" dxfId="0">
      <formula>"W"</formula>
    </cfRule>
    <cfRule type="cellIs" priority="2150" operator="equal" dxfId="1">
      <formula>"L"</formula>
    </cfRule>
    <cfRule type="cellIs" priority="2151" operator="equal" dxfId="2">
      <formula>"D"</formula>
    </cfRule>
  </conditionalFormatting>
  <conditionalFormatting sqref="X27">
    <cfRule type="cellIs" priority="2152" operator="equal" dxfId="0">
      <formula>"W"</formula>
    </cfRule>
    <cfRule type="cellIs" priority="2153" operator="equal" dxfId="1">
      <formula>"L"</formula>
    </cfRule>
    <cfRule type="cellIs" priority="2154" operator="equal" dxfId="2">
      <formula>"D"</formula>
    </cfRule>
  </conditionalFormatting>
  <conditionalFormatting sqref="Y27">
    <cfRule type="cellIs" priority="2155" operator="equal" dxfId="0">
      <formula>"W"</formula>
    </cfRule>
    <cfRule type="cellIs" priority="2156" operator="equal" dxfId="1">
      <formula>"L"</formula>
    </cfRule>
    <cfRule type="cellIs" priority="2157" operator="equal" dxfId="2">
      <formula>"D"</formula>
    </cfRule>
  </conditionalFormatting>
  <conditionalFormatting sqref="Z27">
    <cfRule type="cellIs" priority="2158" operator="equal" dxfId="0">
      <formula>"W"</formula>
    </cfRule>
    <cfRule type="cellIs" priority="2159" operator="equal" dxfId="1">
      <formula>"L"</formula>
    </cfRule>
    <cfRule type="cellIs" priority="2160" operator="equal" dxfId="2">
      <formula>"D"</formula>
    </cfRule>
  </conditionalFormatting>
  <conditionalFormatting sqref="AB27">
    <cfRule type="cellIs" priority="2161" operator="equal" dxfId="0">
      <formula>"W"</formula>
    </cfRule>
    <cfRule type="cellIs" priority="2162" operator="equal" dxfId="1">
      <formula>"L"</formula>
    </cfRule>
    <cfRule type="cellIs" priority="2163" operator="equal" dxfId="2">
      <formula>"D"</formula>
    </cfRule>
  </conditionalFormatting>
  <conditionalFormatting sqref="AC27">
    <cfRule type="cellIs" priority="2164" operator="equal" dxfId="0">
      <formula>"W"</formula>
    </cfRule>
    <cfRule type="cellIs" priority="2165" operator="equal" dxfId="1">
      <formula>"L"</formula>
    </cfRule>
    <cfRule type="cellIs" priority="2166" operator="equal" dxfId="2">
      <formula>"D"</formula>
    </cfRule>
  </conditionalFormatting>
  <conditionalFormatting sqref="AD27">
    <cfRule type="cellIs" priority="2167" operator="equal" dxfId="0">
      <formula>"W"</formula>
    </cfRule>
    <cfRule type="cellIs" priority="2168" operator="equal" dxfId="1">
      <formula>"L"</formula>
    </cfRule>
    <cfRule type="cellIs" priority="2169" operator="equal" dxfId="2">
      <formula>"D"</formula>
    </cfRule>
  </conditionalFormatting>
  <conditionalFormatting sqref="AE27">
    <cfRule type="cellIs" priority="2170" operator="equal" dxfId="0">
      <formula>"W"</formula>
    </cfRule>
    <cfRule type="cellIs" priority="2171" operator="equal" dxfId="1">
      <formula>"L"</formula>
    </cfRule>
    <cfRule type="cellIs" priority="2172" operator="equal" dxfId="2">
      <formula>"D"</formula>
    </cfRule>
  </conditionalFormatting>
  <conditionalFormatting sqref="AF27">
    <cfRule type="cellIs" priority="2173" operator="equal" dxfId="0">
      <formula>"W"</formula>
    </cfRule>
    <cfRule type="cellIs" priority="2174" operator="equal" dxfId="1">
      <formula>"L"</formula>
    </cfRule>
    <cfRule type="cellIs" priority="2175" operator="equal" dxfId="2">
      <formula>"D"</formula>
    </cfRule>
  </conditionalFormatting>
  <conditionalFormatting sqref="C28">
    <cfRule type="cellIs" priority="2176" operator="equal" dxfId="0">
      <formula>"W"</formula>
    </cfRule>
    <cfRule type="cellIs" priority="2177" operator="equal" dxfId="1">
      <formula>"L"</formula>
    </cfRule>
    <cfRule type="cellIs" priority="2178" operator="equal" dxfId="2">
      <formula>"D"</formula>
    </cfRule>
  </conditionalFormatting>
  <conditionalFormatting sqref="D28">
    <cfRule type="cellIs" priority="2179" operator="equal" dxfId="0">
      <formula>"W"</formula>
    </cfRule>
    <cfRule type="cellIs" priority="2180" operator="equal" dxfId="1">
      <formula>"L"</formula>
    </cfRule>
    <cfRule type="cellIs" priority="2181" operator="equal" dxfId="2">
      <formula>"D"</formula>
    </cfRule>
  </conditionalFormatting>
  <conditionalFormatting sqref="E28">
    <cfRule type="cellIs" priority="2182" operator="equal" dxfId="0">
      <formula>"W"</formula>
    </cfRule>
    <cfRule type="cellIs" priority="2183" operator="equal" dxfId="1">
      <formula>"L"</formula>
    </cfRule>
    <cfRule type="cellIs" priority="2184" operator="equal" dxfId="2">
      <formula>"D"</formula>
    </cfRule>
  </conditionalFormatting>
  <conditionalFormatting sqref="F28">
    <cfRule type="cellIs" priority="2185" operator="equal" dxfId="0">
      <formula>"W"</formula>
    </cfRule>
    <cfRule type="cellIs" priority="2186" operator="equal" dxfId="1">
      <formula>"L"</formula>
    </cfRule>
    <cfRule type="cellIs" priority="2187" operator="equal" dxfId="2">
      <formula>"D"</formula>
    </cfRule>
  </conditionalFormatting>
  <conditionalFormatting sqref="G28">
    <cfRule type="cellIs" priority="2188" operator="equal" dxfId="0">
      <formula>"W"</formula>
    </cfRule>
    <cfRule type="cellIs" priority="2189" operator="equal" dxfId="1">
      <formula>"L"</formula>
    </cfRule>
    <cfRule type="cellIs" priority="2190" operator="equal" dxfId="2">
      <formula>"D"</formula>
    </cfRule>
  </conditionalFormatting>
  <conditionalFormatting sqref="H28">
    <cfRule type="cellIs" priority="2191" operator="equal" dxfId="0">
      <formula>"W"</formula>
    </cfRule>
    <cfRule type="cellIs" priority="2192" operator="equal" dxfId="1">
      <formula>"L"</formula>
    </cfRule>
    <cfRule type="cellIs" priority="2193" operator="equal" dxfId="2">
      <formula>"D"</formula>
    </cfRule>
  </conditionalFormatting>
  <conditionalFormatting sqref="I28">
    <cfRule type="cellIs" priority="2194" operator="equal" dxfId="0">
      <formula>"W"</formula>
    </cfRule>
    <cfRule type="cellIs" priority="2195" operator="equal" dxfId="1">
      <formula>"L"</formula>
    </cfRule>
    <cfRule type="cellIs" priority="2196" operator="equal" dxfId="2">
      <formula>"D"</formula>
    </cfRule>
  </conditionalFormatting>
  <conditionalFormatting sqref="J28">
    <cfRule type="cellIs" priority="2197" operator="equal" dxfId="0">
      <formula>"W"</formula>
    </cfRule>
    <cfRule type="cellIs" priority="2198" operator="equal" dxfId="1">
      <formula>"L"</formula>
    </cfRule>
    <cfRule type="cellIs" priority="2199" operator="equal" dxfId="2">
      <formula>"D"</formula>
    </cfRule>
  </conditionalFormatting>
  <conditionalFormatting sqref="K28">
    <cfRule type="cellIs" priority="2200" operator="equal" dxfId="0">
      <formula>"W"</formula>
    </cfRule>
    <cfRule type="cellIs" priority="2201" operator="equal" dxfId="1">
      <formula>"L"</formula>
    </cfRule>
    <cfRule type="cellIs" priority="2202" operator="equal" dxfId="2">
      <formula>"D"</formula>
    </cfRule>
  </conditionalFormatting>
  <conditionalFormatting sqref="L28">
    <cfRule type="cellIs" priority="2203" operator="equal" dxfId="0">
      <formula>"W"</formula>
    </cfRule>
    <cfRule type="cellIs" priority="2204" operator="equal" dxfId="1">
      <formula>"L"</formula>
    </cfRule>
    <cfRule type="cellIs" priority="2205" operator="equal" dxfId="2">
      <formula>"D"</formula>
    </cfRule>
  </conditionalFormatting>
  <conditionalFormatting sqref="M28">
    <cfRule type="cellIs" priority="2206" operator="equal" dxfId="0">
      <formula>"W"</formula>
    </cfRule>
    <cfRule type="cellIs" priority="2207" operator="equal" dxfId="1">
      <formula>"L"</formula>
    </cfRule>
    <cfRule type="cellIs" priority="2208" operator="equal" dxfId="2">
      <formula>"D"</formula>
    </cfRule>
  </conditionalFormatting>
  <conditionalFormatting sqref="N28">
    <cfRule type="cellIs" priority="2209" operator="equal" dxfId="0">
      <formula>"W"</formula>
    </cfRule>
    <cfRule type="cellIs" priority="2210" operator="equal" dxfId="1">
      <formula>"L"</formula>
    </cfRule>
    <cfRule type="cellIs" priority="2211" operator="equal" dxfId="2">
      <formula>"D"</formula>
    </cfRule>
  </conditionalFormatting>
  <conditionalFormatting sqref="O28">
    <cfRule type="cellIs" priority="2212" operator="equal" dxfId="0">
      <formula>"W"</formula>
    </cfRule>
    <cfRule type="cellIs" priority="2213" operator="equal" dxfId="1">
      <formula>"L"</formula>
    </cfRule>
    <cfRule type="cellIs" priority="2214" operator="equal" dxfId="2">
      <formula>"D"</formula>
    </cfRule>
  </conditionalFormatting>
  <conditionalFormatting sqref="P28">
    <cfRule type="cellIs" priority="2215" operator="equal" dxfId="0">
      <formula>"W"</formula>
    </cfRule>
    <cfRule type="cellIs" priority="2216" operator="equal" dxfId="1">
      <formula>"L"</formula>
    </cfRule>
    <cfRule type="cellIs" priority="2217" operator="equal" dxfId="2">
      <formula>"D"</formula>
    </cfRule>
  </conditionalFormatting>
  <conditionalFormatting sqref="Q28">
    <cfRule type="cellIs" priority="2218" operator="equal" dxfId="0">
      <formula>"W"</formula>
    </cfRule>
    <cfRule type="cellIs" priority="2219" operator="equal" dxfId="1">
      <formula>"L"</formula>
    </cfRule>
    <cfRule type="cellIs" priority="2220" operator="equal" dxfId="2">
      <formula>"D"</formula>
    </cfRule>
  </conditionalFormatting>
  <conditionalFormatting sqref="R28">
    <cfRule type="cellIs" priority="2221" operator="equal" dxfId="0">
      <formula>"W"</formula>
    </cfRule>
    <cfRule type="cellIs" priority="2222" operator="equal" dxfId="1">
      <formula>"L"</formula>
    </cfRule>
    <cfRule type="cellIs" priority="2223" operator="equal" dxfId="2">
      <formula>"D"</formula>
    </cfRule>
  </conditionalFormatting>
  <conditionalFormatting sqref="S28">
    <cfRule type="cellIs" priority="2224" operator="equal" dxfId="0">
      <formula>"W"</formula>
    </cfRule>
    <cfRule type="cellIs" priority="2225" operator="equal" dxfId="1">
      <formula>"L"</formula>
    </cfRule>
    <cfRule type="cellIs" priority="2226" operator="equal" dxfId="2">
      <formula>"D"</formula>
    </cfRule>
  </conditionalFormatting>
  <conditionalFormatting sqref="T28">
    <cfRule type="cellIs" priority="2227" operator="equal" dxfId="0">
      <formula>"W"</formula>
    </cfRule>
    <cfRule type="cellIs" priority="2228" operator="equal" dxfId="1">
      <formula>"L"</formula>
    </cfRule>
    <cfRule type="cellIs" priority="2229" operator="equal" dxfId="2">
      <formula>"D"</formula>
    </cfRule>
  </conditionalFormatting>
  <conditionalFormatting sqref="U28">
    <cfRule type="cellIs" priority="2230" operator="equal" dxfId="0">
      <formula>"W"</formula>
    </cfRule>
    <cfRule type="cellIs" priority="2231" operator="equal" dxfId="1">
      <formula>"L"</formula>
    </cfRule>
    <cfRule type="cellIs" priority="2232" operator="equal" dxfId="2">
      <formula>"D"</formula>
    </cfRule>
  </conditionalFormatting>
  <conditionalFormatting sqref="V28">
    <cfRule type="cellIs" priority="2233" operator="equal" dxfId="0">
      <formula>"W"</formula>
    </cfRule>
    <cfRule type="cellIs" priority="2234" operator="equal" dxfId="1">
      <formula>"L"</formula>
    </cfRule>
    <cfRule type="cellIs" priority="2235" operator="equal" dxfId="2">
      <formula>"D"</formula>
    </cfRule>
  </conditionalFormatting>
  <conditionalFormatting sqref="W28">
    <cfRule type="cellIs" priority="2236" operator="equal" dxfId="0">
      <formula>"W"</formula>
    </cfRule>
    <cfRule type="cellIs" priority="2237" operator="equal" dxfId="1">
      <formula>"L"</formula>
    </cfRule>
    <cfRule type="cellIs" priority="2238" operator="equal" dxfId="2">
      <formula>"D"</formula>
    </cfRule>
  </conditionalFormatting>
  <conditionalFormatting sqref="X28">
    <cfRule type="cellIs" priority="2239" operator="equal" dxfId="0">
      <formula>"W"</formula>
    </cfRule>
    <cfRule type="cellIs" priority="2240" operator="equal" dxfId="1">
      <formula>"L"</formula>
    </cfRule>
    <cfRule type="cellIs" priority="2241" operator="equal" dxfId="2">
      <formula>"D"</formula>
    </cfRule>
  </conditionalFormatting>
  <conditionalFormatting sqref="Y28">
    <cfRule type="cellIs" priority="2242" operator="equal" dxfId="0">
      <formula>"W"</formula>
    </cfRule>
    <cfRule type="cellIs" priority="2243" operator="equal" dxfId="1">
      <formula>"L"</formula>
    </cfRule>
    <cfRule type="cellIs" priority="2244" operator="equal" dxfId="2">
      <formula>"D"</formula>
    </cfRule>
  </conditionalFormatting>
  <conditionalFormatting sqref="Z28">
    <cfRule type="cellIs" priority="2245" operator="equal" dxfId="0">
      <formula>"W"</formula>
    </cfRule>
    <cfRule type="cellIs" priority="2246" operator="equal" dxfId="1">
      <formula>"L"</formula>
    </cfRule>
    <cfRule type="cellIs" priority="2247" operator="equal" dxfId="2">
      <formula>"D"</formula>
    </cfRule>
  </conditionalFormatting>
  <conditionalFormatting sqref="AA28">
    <cfRule type="cellIs" priority="2248" operator="equal" dxfId="0">
      <formula>"W"</formula>
    </cfRule>
    <cfRule type="cellIs" priority="2249" operator="equal" dxfId="1">
      <formula>"L"</formula>
    </cfRule>
    <cfRule type="cellIs" priority="2250" operator="equal" dxfId="2">
      <formula>"D"</formula>
    </cfRule>
  </conditionalFormatting>
  <conditionalFormatting sqref="AC28">
    <cfRule type="cellIs" priority="2251" operator="equal" dxfId="0">
      <formula>"W"</formula>
    </cfRule>
    <cfRule type="cellIs" priority="2252" operator="equal" dxfId="1">
      <formula>"L"</formula>
    </cfRule>
    <cfRule type="cellIs" priority="2253" operator="equal" dxfId="2">
      <formula>"D"</formula>
    </cfRule>
  </conditionalFormatting>
  <conditionalFormatting sqref="AD28">
    <cfRule type="cellIs" priority="2254" operator="equal" dxfId="0">
      <formula>"W"</formula>
    </cfRule>
    <cfRule type="cellIs" priority="2255" operator="equal" dxfId="1">
      <formula>"L"</formula>
    </cfRule>
    <cfRule type="cellIs" priority="2256" operator="equal" dxfId="2">
      <formula>"D"</formula>
    </cfRule>
  </conditionalFormatting>
  <conditionalFormatting sqref="AE28">
    <cfRule type="cellIs" priority="2257" operator="equal" dxfId="0">
      <formula>"W"</formula>
    </cfRule>
    <cfRule type="cellIs" priority="2258" operator="equal" dxfId="1">
      <formula>"L"</formula>
    </cfRule>
    <cfRule type="cellIs" priority="2259" operator="equal" dxfId="2">
      <formula>"D"</formula>
    </cfRule>
  </conditionalFormatting>
  <conditionalFormatting sqref="AF28">
    <cfRule type="cellIs" priority="2260" operator="equal" dxfId="0">
      <formula>"W"</formula>
    </cfRule>
    <cfRule type="cellIs" priority="2261" operator="equal" dxfId="1">
      <formula>"L"</formula>
    </cfRule>
    <cfRule type="cellIs" priority="2262" operator="equal" dxfId="2">
      <formula>"D"</formula>
    </cfRule>
  </conditionalFormatting>
  <conditionalFormatting sqref="C29">
    <cfRule type="cellIs" priority="2263" operator="equal" dxfId="0">
      <formula>"W"</formula>
    </cfRule>
    <cfRule type="cellIs" priority="2264" operator="equal" dxfId="1">
      <formula>"L"</formula>
    </cfRule>
    <cfRule type="cellIs" priority="2265" operator="equal" dxfId="2">
      <formula>"D"</formula>
    </cfRule>
  </conditionalFormatting>
  <conditionalFormatting sqref="D29">
    <cfRule type="cellIs" priority="2266" operator="equal" dxfId="0">
      <formula>"W"</formula>
    </cfRule>
    <cfRule type="cellIs" priority="2267" operator="equal" dxfId="1">
      <formula>"L"</formula>
    </cfRule>
    <cfRule type="cellIs" priority="2268" operator="equal" dxfId="2">
      <formula>"D"</formula>
    </cfRule>
  </conditionalFormatting>
  <conditionalFormatting sqref="E29">
    <cfRule type="cellIs" priority="2269" operator="equal" dxfId="0">
      <formula>"W"</formula>
    </cfRule>
    <cfRule type="cellIs" priority="2270" operator="equal" dxfId="1">
      <formula>"L"</formula>
    </cfRule>
    <cfRule type="cellIs" priority="2271" operator="equal" dxfId="2">
      <formula>"D"</formula>
    </cfRule>
  </conditionalFormatting>
  <conditionalFormatting sqref="F29">
    <cfRule type="cellIs" priority="2272" operator="equal" dxfId="0">
      <formula>"W"</formula>
    </cfRule>
    <cfRule type="cellIs" priority="2273" operator="equal" dxfId="1">
      <formula>"L"</formula>
    </cfRule>
    <cfRule type="cellIs" priority="2274" operator="equal" dxfId="2">
      <formula>"D"</formula>
    </cfRule>
  </conditionalFormatting>
  <conditionalFormatting sqref="G29">
    <cfRule type="cellIs" priority="2275" operator="equal" dxfId="0">
      <formula>"W"</formula>
    </cfRule>
    <cfRule type="cellIs" priority="2276" operator="equal" dxfId="1">
      <formula>"L"</formula>
    </cfRule>
    <cfRule type="cellIs" priority="2277" operator="equal" dxfId="2">
      <formula>"D"</formula>
    </cfRule>
  </conditionalFormatting>
  <conditionalFormatting sqref="H29">
    <cfRule type="cellIs" priority="2278" operator="equal" dxfId="0">
      <formula>"W"</formula>
    </cfRule>
    <cfRule type="cellIs" priority="2279" operator="equal" dxfId="1">
      <formula>"L"</formula>
    </cfRule>
    <cfRule type="cellIs" priority="2280" operator="equal" dxfId="2">
      <formula>"D"</formula>
    </cfRule>
  </conditionalFormatting>
  <conditionalFormatting sqref="I29">
    <cfRule type="cellIs" priority="2281" operator="equal" dxfId="0">
      <formula>"W"</formula>
    </cfRule>
    <cfRule type="cellIs" priority="2282" operator="equal" dxfId="1">
      <formula>"L"</formula>
    </cfRule>
    <cfRule type="cellIs" priority="2283" operator="equal" dxfId="2">
      <formula>"D"</formula>
    </cfRule>
  </conditionalFormatting>
  <conditionalFormatting sqref="J29">
    <cfRule type="cellIs" priority="2284" operator="equal" dxfId="0">
      <formula>"W"</formula>
    </cfRule>
    <cfRule type="cellIs" priority="2285" operator="equal" dxfId="1">
      <formula>"L"</formula>
    </cfRule>
    <cfRule type="cellIs" priority="2286" operator="equal" dxfId="2">
      <formula>"D"</formula>
    </cfRule>
  </conditionalFormatting>
  <conditionalFormatting sqref="K29">
    <cfRule type="cellIs" priority="2287" operator="equal" dxfId="0">
      <formula>"W"</formula>
    </cfRule>
    <cfRule type="cellIs" priority="2288" operator="equal" dxfId="1">
      <formula>"L"</formula>
    </cfRule>
    <cfRule type="cellIs" priority="2289" operator="equal" dxfId="2">
      <formula>"D"</formula>
    </cfRule>
  </conditionalFormatting>
  <conditionalFormatting sqref="L29">
    <cfRule type="cellIs" priority="2290" operator="equal" dxfId="0">
      <formula>"W"</formula>
    </cfRule>
    <cfRule type="cellIs" priority="2291" operator="equal" dxfId="1">
      <formula>"L"</formula>
    </cfRule>
    <cfRule type="cellIs" priority="2292" operator="equal" dxfId="2">
      <formula>"D"</formula>
    </cfRule>
  </conditionalFormatting>
  <conditionalFormatting sqref="M29">
    <cfRule type="cellIs" priority="2293" operator="equal" dxfId="0">
      <formula>"W"</formula>
    </cfRule>
    <cfRule type="cellIs" priority="2294" operator="equal" dxfId="1">
      <formula>"L"</formula>
    </cfRule>
    <cfRule type="cellIs" priority="2295" operator="equal" dxfId="2">
      <formula>"D"</formula>
    </cfRule>
  </conditionalFormatting>
  <conditionalFormatting sqref="N29">
    <cfRule type="cellIs" priority="2296" operator="equal" dxfId="0">
      <formula>"W"</formula>
    </cfRule>
    <cfRule type="cellIs" priority="2297" operator="equal" dxfId="1">
      <formula>"L"</formula>
    </cfRule>
    <cfRule type="cellIs" priority="2298" operator="equal" dxfId="2">
      <formula>"D"</formula>
    </cfRule>
  </conditionalFormatting>
  <conditionalFormatting sqref="O29">
    <cfRule type="cellIs" priority="2299" operator="equal" dxfId="0">
      <formula>"W"</formula>
    </cfRule>
    <cfRule type="cellIs" priority="2300" operator="equal" dxfId="1">
      <formula>"L"</formula>
    </cfRule>
    <cfRule type="cellIs" priority="2301" operator="equal" dxfId="2">
      <formula>"D"</formula>
    </cfRule>
  </conditionalFormatting>
  <conditionalFormatting sqref="P29">
    <cfRule type="cellIs" priority="2302" operator="equal" dxfId="0">
      <formula>"W"</formula>
    </cfRule>
    <cfRule type="cellIs" priority="2303" operator="equal" dxfId="1">
      <formula>"L"</formula>
    </cfRule>
    <cfRule type="cellIs" priority="2304" operator="equal" dxfId="2">
      <formula>"D"</formula>
    </cfRule>
  </conditionalFormatting>
  <conditionalFormatting sqref="Q29">
    <cfRule type="cellIs" priority="2305" operator="equal" dxfId="0">
      <formula>"W"</formula>
    </cfRule>
    <cfRule type="cellIs" priority="2306" operator="equal" dxfId="1">
      <formula>"L"</formula>
    </cfRule>
    <cfRule type="cellIs" priority="2307" operator="equal" dxfId="2">
      <formula>"D"</formula>
    </cfRule>
  </conditionalFormatting>
  <conditionalFormatting sqref="R29">
    <cfRule type="cellIs" priority="2308" operator="equal" dxfId="0">
      <formula>"W"</formula>
    </cfRule>
    <cfRule type="cellIs" priority="2309" operator="equal" dxfId="1">
      <formula>"L"</formula>
    </cfRule>
    <cfRule type="cellIs" priority="2310" operator="equal" dxfId="2">
      <formula>"D"</formula>
    </cfRule>
  </conditionalFormatting>
  <conditionalFormatting sqref="S29">
    <cfRule type="cellIs" priority="2311" operator="equal" dxfId="0">
      <formula>"W"</formula>
    </cfRule>
    <cfRule type="cellIs" priority="2312" operator="equal" dxfId="1">
      <formula>"L"</formula>
    </cfRule>
    <cfRule type="cellIs" priority="2313" operator="equal" dxfId="2">
      <formula>"D"</formula>
    </cfRule>
  </conditionalFormatting>
  <conditionalFormatting sqref="T29">
    <cfRule type="cellIs" priority="2314" operator="equal" dxfId="0">
      <formula>"W"</formula>
    </cfRule>
    <cfRule type="cellIs" priority="2315" operator="equal" dxfId="1">
      <formula>"L"</formula>
    </cfRule>
    <cfRule type="cellIs" priority="2316" operator="equal" dxfId="2">
      <formula>"D"</formula>
    </cfRule>
  </conditionalFormatting>
  <conditionalFormatting sqref="U29">
    <cfRule type="cellIs" priority="2317" operator="equal" dxfId="0">
      <formula>"W"</formula>
    </cfRule>
    <cfRule type="cellIs" priority="2318" operator="equal" dxfId="1">
      <formula>"L"</formula>
    </cfRule>
    <cfRule type="cellIs" priority="2319" operator="equal" dxfId="2">
      <formula>"D"</formula>
    </cfRule>
  </conditionalFormatting>
  <conditionalFormatting sqref="V29">
    <cfRule type="cellIs" priority="2320" operator="equal" dxfId="0">
      <formula>"W"</formula>
    </cfRule>
    <cfRule type="cellIs" priority="2321" operator="equal" dxfId="1">
      <formula>"L"</formula>
    </cfRule>
    <cfRule type="cellIs" priority="2322" operator="equal" dxfId="2">
      <formula>"D"</formula>
    </cfRule>
  </conditionalFormatting>
  <conditionalFormatting sqref="W29">
    <cfRule type="cellIs" priority="2323" operator="equal" dxfId="0">
      <formula>"W"</formula>
    </cfRule>
    <cfRule type="cellIs" priority="2324" operator="equal" dxfId="1">
      <formula>"L"</formula>
    </cfRule>
    <cfRule type="cellIs" priority="2325" operator="equal" dxfId="2">
      <formula>"D"</formula>
    </cfRule>
  </conditionalFormatting>
  <conditionalFormatting sqref="X29">
    <cfRule type="cellIs" priority="2326" operator="equal" dxfId="0">
      <formula>"W"</formula>
    </cfRule>
    <cfRule type="cellIs" priority="2327" operator="equal" dxfId="1">
      <formula>"L"</formula>
    </cfRule>
    <cfRule type="cellIs" priority="2328" operator="equal" dxfId="2">
      <formula>"D"</formula>
    </cfRule>
  </conditionalFormatting>
  <conditionalFormatting sqref="Y29">
    <cfRule type="cellIs" priority="2329" operator="equal" dxfId="0">
      <formula>"W"</formula>
    </cfRule>
    <cfRule type="cellIs" priority="2330" operator="equal" dxfId="1">
      <formula>"L"</formula>
    </cfRule>
    <cfRule type="cellIs" priority="2331" operator="equal" dxfId="2">
      <formula>"D"</formula>
    </cfRule>
  </conditionalFormatting>
  <conditionalFormatting sqref="Z29">
    <cfRule type="cellIs" priority="2332" operator="equal" dxfId="0">
      <formula>"W"</formula>
    </cfRule>
    <cfRule type="cellIs" priority="2333" operator="equal" dxfId="1">
      <formula>"L"</formula>
    </cfRule>
    <cfRule type="cellIs" priority="2334" operator="equal" dxfId="2">
      <formula>"D"</formula>
    </cfRule>
  </conditionalFormatting>
  <conditionalFormatting sqref="AA29">
    <cfRule type="cellIs" priority="2335" operator="equal" dxfId="0">
      <formula>"W"</formula>
    </cfRule>
    <cfRule type="cellIs" priority="2336" operator="equal" dxfId="1">
      <formula>"L"</formula>
    </cfRule>
    <cfRule type="cellIs" priority="2337" operator="equal" dxfId="2">
      <formula>"D"</formula>
    </cfRule>
  </conditionalFormatting>
  <conditionalFormatting sqref="AB29">
    <cfRule type="cellIs" priority="2338" operator="equal" dxfId="0">
      <formula>"W"</formula>
    </cfRule>
    <cfRule type="cellIs" priority="2339" operator="equal" dxfId="1">
      <formula>"L"</formula>
    </cfRule>
    <cfRule type="cellIs" priority="2340" operator="equal" dxfId="2">
      <formula>"D"</formula>
    </cfRule>
  </conditionalFormatting>
  <conditionalFormatting sqref="AD29">
    <cfRule type="cellIs" priority="2341" operator="equal" dxfId="0">
      <formula>"W"</formula>
    </cfRule>
    <cfRule type="cellIs" priority="2342" operator="equal" dxfId="1">
      <formula>"L"</formula>
    </cfRule>
    <cfRule type="cellIs" priority="2343" operator="equal" dxfId="2">
      <formula>"D"</formula>
    </cfRule>
  </conditionalFormatting>
  <conditionalFormatting sqref="AE29">
    <cfRule type="cellIs" priority="2344" operator="equal" dxfId="0">
      <formula>"W"</formula>
    </cfRule>
    <cfRule type="cellIs" priority="2345" operator="equal" dxfId="1">
      <formula>"L"</formula>
    </cfRule>
    <cfRule type="cellIs" priority="2346" operator="equal" dxfId="2">
      <formula>"D"</formula>
    </cfRule>
  </conditionalFormatting>
  <conditionalFormatting sqref="AF29">
    <cfRule type="cellIs" priority="2347" operator="equal" dxfId="0">
      <formula>"W"</formula>
    </cfRule>
    <cfRule type="cellIs" priority="2348" operator="equal" dxfId="1">
      <formula>"L"</formula>
    </cfRule>
    <cfRule type="cellIs" priority="2349" operator="equal" dxfId="2">
      <formula>"D"</formula>
    </cfRule>
  </conditionalFormatting>
  <conditionalFormatting sqref="C30">
    <cfRule type="cellIs" priority="2350" operator="equal" dxfId="0">
      <formula>"W"</formula>
    </cfRule>
    <cfRule type="cellIs" priority="2351" operator="equal" dxfId="1">
      <formula>"L"</formula>
    </cfRule>
    <cfRule type="cellIs" priority="2352" operator="equal" dxfId="2">
      <formula>"D"</formula>
    </cfRule>
  </conditionalFormatting>
  <conditionalFormatting sqref="D30">
    <cfRule type="cellIs" priority="2353" operator="equal" dxfId="0">
      <formula>"W"</formula>
    </cfRule>
    <cfRule type="cellIs" priority="2354" operator="equal" dxfId="1">
      <formula>"L"</formula>
    </cfRule>
    <cfRule type="cellIs" priority="2355" operator="equal" dxfId="2">
      <formula>"D"</formula>
    </cfRule>
  </conditionalFormatting>
  <conditionalFormatting sqref="E30">
    <cfRule type="cellIs" priority="2356" operator="equal" dxfId="0">
      <formula>"W"</formula>
    </cfRule>
    <cfRule type="cellIs" priority="2357" operator="equal" dxfId="1">
      <formula>"L"</formula>
    </cfRule>
    <cfRule type="cellIs" priority="2358" operator="equal" dxfId="2">
      <formula>"D"</formula>
    </cfRule>
  </conditionalFormatting>
  <conditionalFormatting sqref="F30">
    <cfRule type="cellIs" priority="2359" operator="equal" dxfId="0">
      <formula>"W"</formula>
    </cfRule>
    <cfRule type="cellIs" priority="2360" operator="equal" dxfId="1">
      <formula>"L"</formula>
    </cfRule>
    <cfRule type="cellIs" priority="2361" operator="equal" dxfId="2">
      <formula>"D"</formula>
    </cfRule>
  </conditionalFormatting>
  <conditionalFormatting sqref="G30">
    <cfRule type="cellIs" priority="2362" operator="equal" dxfId="0">
      <formula>"W"</formula>
    </cfRule>
    <cfRule type="cellIs" priority="2363" operator="equal" dxfId="1">
      <formula>"L"</formula>
    </cfRule>
    <cfRule type="cellIs" priority="2364" operator="equal" dxfId="2">
      <formula>"D"</formula>
    </cfRule>
  </conditionalFormatting>
  <conditionalFormatting sqref="H30">
    <cfRule type="cellIs" priority="2365" operator="equal" dxfId="0">
      <formula>"W"</formula>
    </cfRule>
    <cfRule type="cellIs" priority="2366" operator="equal" dxfId="1">
      <formula>"L"</formula>
    </cfRule>
    <cfRule type="cellIs" priority="2367" operator="equal" dxfId="2">
      <formula>"D"</formula>
    </cfRule>
  </conditionalFormatting>
  <conditionalFormatting sqref="I30">
    <cfRule type="cellIs" priority="2368" operator="equal" dxfId="0">
      <formula>"W"</formula>
    </cfRule>
    <cfRule type="cellIs" priority="2369" operator="equal" dxfId="1">
      <formula>"L"</formula>
    </cfRule>
    <cfRule type="cellIs" priority="2370" operator="equal" dxfId="2">
      <formula>"D"</formula>
    </cfRule>
  </conditionalFormatting>
  <conditionalFormatting sqref="J30">
    <cfRule type="cellIs" priority="2371" operator="equal" dxfId="0">
      <formula>"W"</formula>
    </cfRule>
    <cfRule type="cellIs" priority="2372" operator="equal" dxfId="1">
      <formula>"L"</formula>
    </cfRule>
    <cfRule type="cellIs" priority="2373" operator="equal" dxfId="2">
      <formula>"D"</formula>
    </cfRule>
  </conditionalFormatting>
  <conditionalFormatting sqref="K30">
    <cfRule type="cellIs" priority="2374" operator="equal" dxfId="0">
      <formula>"W"</formula>
    </cfRule>
    <cfRule type="cellIs" priority="2375" operator="equal" dxfId="1">
      <formula>"L"</formula>
    </cfRule>
    <cfRule type="cellIs" priority="2376" operator="equal" dxfId="2">
      <formula>"D"</formula>
    </cfRule>
  </conditionalFormatting>
  <conditionalFormatting sqref="L30">
    <cfRule type="cellIs" priority="2377" operator="equal" dxfId="0">
      <formula>"W"</formula>
    </cfRule>
    <cfRule type="cellIs" priority="2378" operator="equal" dxfId="1">
      <formula>"L"</formula>
    </cfRule>
    <cfRule type="cellIs" priority="2379" operator="equal" dxfId="2">
      <formula>"D"</formula>
    </cfRule>
  </conditionalFormatting>
  <conditionalFormatting sqref="M30">
    <cfRule type="cellIs" priority="2380" operator="equal" dxfId="0">
      <formula>"W"</formula>
    </cfRule>
    <cfRule type="cellIs" priority="2381" operator="equal" dxfId="1">
      <formula>"L"</formula>
    </cfRule>
    <cfRule type="cellIs" priority="2382" operator="equal" dxfId="2">
      <formula>"D"</formula>
    </cfRule>
  </conditionalFormatting>
  <conditionalFormatting sqref="N30">
    <cfRule type="cellIs" priority="2383" operator="equal" dxfId="0">
      <formula>"W"</formula>
    </cfRule>
    <cfRule type="cellIs" priority="2384" operator="equal" dxfId="1">
      <formula>"L"</formula>
    </cfRule>
    <cfRule type="cellIs" priority="2385" operator="equal" dxfId="2">
      <formula>"D"</formula>
    </cfRule>
  </conditionalFormatting>
  <conditionalFormatting sqref="O30">
    <cfRule type="cellIs" priority="2386" operator="equal" dxfId="0">
      <formula>"W"</formula>
    </cfRule>
    <cfRule type="cellIs" priority="2387" operator="equal" dxfId="1">
      <formula>"L"</formula>
    </cfRule>
    <cfRule type="cellIs" priority="2388" operator="equal" dxfId="2">
      <formula>"D"</formula>
    </cfRule>
  </conditionalFormatting>
  <conditionalFormatting sqref="P30">
    <cfRule type="cellIs" priority="2389" operator="equal" dxfId="0">
      <formula>"W"</formula>
    </cfRule>
    <cfRule type="cellIs" priority="2390" operator="equal" dxfId="1">
      <formula>"L"</formula>
    </cfRule>
    <cfRule type="cellIs" priority="2391" operator="equal" dxfId="2">
      <formula>"D"</formula>
    </cfRule>
  </conditionalFormatting>
  <conditionalFormatting sqref="Q30">
    <cfRule type="cellIs" priority="2392" operator="equal" dxfId="0">
      <formula>"W"</formula>
    </cfRule>
    <cfRule type="cellIs" priority="2393" operator="equal" dxfId="1">
      <formula>"L"</formula>
    </cfRule>
    <cfRule type="cellIs" priority="2394" operator="equal" dxfId="2">
      <formula>"D"</formula>
    </cfRule>
  </conditionalFormatting>
  <conditionalFormatting sqref="R30">
    <cfRule type="cellIs" priority="2395" operator="equal" dxfId="0">
      <formula>"W"</formula>
    </cfRule>
    <cfRule type="cellIs" priority="2396" operator="equal" dxfId="1">
      <formula>"L"</formula>
    </cfRule>
    <cfRule type="cellIs" priority="2397" operator="equal" dxfId="2">
      <formula>"D"</formula>
    </cfRule>
  </conditionalFormatting>
  <conditionalFormatting sqref="S30">
    <cfRule type="cellIs" priority="2398" operator="equal" dxfId="0">
      <formula>"W"</formula>
    </cfRule>
    <cfRule type="cellIs" priority="2399" operator="equal" dxfId="1">
      <formula>"L"</formula>
    </cfRule>
    <cfRule type="cellIs" priority="2400" operator="equal" dxfId="2">
      <formula>"D"</formula>
    </cfRule>
  </conditionalFormatting>
  <conditionalFormatting sqref="T30">
    <cfRule type="cellIs" priority="2401" operator="equal" dxfId="0">
      <formula>"W"</formula>
    </cfRule>
    <cfRule type="cellIs" priority="2402" operator="equal" dxfId="1">
      <formula>"L"</formula>
    </cfRule>
    <cfRule type="cellIs" priority="2403" operator="equal" dxfId="2">
      <formula>"D"</formula>
    </cfRule>
  </conditionalFormatting>
  <conditionalFormatting sqref="U30">
    <cfRule type="cellIs" priority="2404" operator="equal" dxfId="0">
      <formula>"W"</formula>
    </cfRule>
    <cfRule type="cellIs" priority="2405" operator="equal" dxfId="1">
      <formula>"L"</formula>
    </cfRule>
    <cfRule type="cellIs" priority="2406" operator="equal" dxfId="2">
      <formula>"D"</formula>
    </cfRule>
  </conditionalFormatting>
  <conditionalFormatting sqref="V30">
    <cfRule type="cellIs" priority="2407" operator="equal" dxfId="0">
      <formula>"W"</formula>
    </cfRule>
    <cfRule type="cellIs" priority="2408" operator="equal" dxfId="1">
      <formula>"L"</formula>
    </cfRule>
    <cfRule type="cellIs" priority="2409" operator="equal" dxfId="2">
      <formula>"D"</formula>
    </cfRule>
  </conditionalFormatting>
  <conditionalFormatting sqref="W30">
    <cfRule type="cellIs" priority="2410" operator="equal" dxfId="0">
      <formula>"W"</formula>
    </cfRule>
    <cfRule type="cellIs" priority="2411" operator="equal" dxfId="1">
      <formula>"L"</formula>
    </cfRule>
    <cfRule type="cellIs" priority="2412" operator="equal" dxfId="2">
      <formula>"D"</formula>
    </cfRule>
  </conditionalFormatting>
  <conditionalFormatting sqref="X30">
    <cfRule type="cellIs" priority="2413" operator="equal" dxfId="0">
      <formula>"W"</formula>
    </cfRule>
    <cfRule type="cellIs" priority="2414" operator="equal" dxfId="1">
      <formula>"L"</formula>
    </cfRule>
    <cfRule type="cellIs" priority="2415" operator="equal" dxfId="2">
      <formula>"D"</formula>
    </cfRule>
  </conditionalFormatting>
  <conditionalFormatting sqref="Y30">
    <cfRule type="cellIs" priority="2416" operator="equal" dxfId="0">
      <formula>"W"</formula>
    </cfRule>
    <cfRule type="cellIs" priority="2417" operator="equal" dxfId="1">
      <formula>"L"</formula>
    </cfRule>
    <cfRule type="cellIs" priority="2418" operator="equal" dxfId="2">
      <formula>"D"</formula>
    </cfRule>
  </conditionalFormatting>
  <conditionalFormatting sqref="Z30">
    <cfRule type="cellIs" priority="2419" operator="equal" dxfId="0">
      <formula>"W"</formula>
    </cfRule>
    <cfRule type="cellIs" priority="2420" operator="equal" dxfId="1">
      <formula>"L"</formula>
    </cfRule>
    <cfRule type="cellIs" priority="2421" operator="equal" dxfId="2">
      <formula>"D"</formula>
    </cfRule>
  </conditionalFormatting>
  <conditionalFormatting sqref="AA30">
    <cfRule type="cellIs" priority="2422" operator="equal" dxfId="0">
      <formula>"W"</formula>
    </cfRule>
    <cfRule type="cellIs" priority="2423" operator="equal" dxfId="1">
      <formula>"L"</formula>
    </cfRule>
    <cfRule type="cellIs" priority="2424" operator="equal" dxfId="2">
      <formula>"D"</formula>
    </cfRule>
  </conditionalFormatting>
  <conditionalFormatting sqref="AB30">
    <cfRule type="cellIs" priority="2425" operator="equal" dxfId="0">
      <formula>"W"</formula>
    </cfRule>
    <cfRule type="cellIs" priority="2426" operator="equal" dxfId="1">
      <formula>"L"</formula>
    </cfRule>
    <cfRule type="cellIs" priority="2427" operator="equal" dxfId="2">
      <formula>"D"</formula>
    </cfRule>
  </conditionalFormatting>
  <conditionalFormatting sqref="AC30">
    <cfRule type="cellIs" priority="2428" operator="equal" dxfId="0">
      <formula>"W"</formula>
    </cfRule>
    <cfRule type="cellIs" priority="2429" operator="equal" dxfId="1">
      <formula>"L"</formula>
    </cfRule>
    <cfRule type="cellIs" priority="2430" operator="equal" dxfId="2">
      <formula>"D"</formula>
    </cfRule>
  </conditionalFormatting>
  <conditionalFormatting sqref="AE30">
    <cfRule type="cellIs" priority="2431" operator="equal" dxfId="0">
      <formula>"W"</formula>
    </cfRule>
    <cfRule type="cellIs" priority="2432" operator="equal" dxfId="1">
      <formula>"L"</formula>
    </cfRule>
    <cfRule type="cellIs" priority="2433" operator="equal" dxfId="2">
      <formula>"D"</formula>
    </cfRule>
  </conditionalFormatting>
  <conditionalFormatting sqref="AF30">
    <cfRule type="cellIs" priority="2434" operator="equal" dxfId="0">
      <formula>"W"</formula>
    </cfRule>
    <cfRule type="cellIs" priority="2435" operator="equal" dxfId="1">
      <formula>"L"</formula>
    </cfRule>
    <cfRule type="cellIs" priority="2436" operator="equal" dxfId="2">
      <formula>"D"</formula>
    </cfRule>
  </conditionalFormatting>
  <conditionalFormatting sqref="C31">
    <cfRule type="cellIs" priority="2437" operator="equal" dxfId="0">
      <formula>"W"</formula>
    </cfRule>
    <cfRule type="cellIs" priority="2438" operator="equal" dxfId="1">
      <formula>"L"</formula>
    </cfRule>
    <cfRule type="cellIs" priority="2439" operator="equal" dxfId="2">
      <formula>"D"</formula>
    </cfRule>
  </conditionalFormatting>
  <conditionalFormatting sqref="D31">
    <cfRule type="cellIs" priority="2440" operator="equal" dxfId="0">
      <formula>"W"</formula>
    </cfRule>
    <cfRule type="cellIs" priority="2441" operator="equal" dxfId="1">
      <formula>"L"</formula>
    </cfRule>
    <cfRule type="cellIs" priority="2442" operator="equal" dxfId="2">
      <formula>"D"</formula>
    </cfRule>
  </conditionalFormatting>
  <conditionalFormatting sqref="E31">
    <cfRule type="cellIs" priority="2443" operator="equal" dxfId="0">
      <formula>"W"</formula>
    </cfRule>
    <cfRule type="cellIs" priority="2444" operator="equal" dxfId="1">
      <formula>"L"</formula>
    </cfRule>
    <cfRule type="cellIs" priority="2445" operator="equal" dxfId="2">
      <formula>"D"</formula>
    </cfRule>
  </conditionalFormatting>
  <conditionalFormatting sqref="F31">
    <cfRule type="cellIs" priority="2446" operator="equal" dxfId="0">
      <formula>"W"</formula>
    </cfRule>
    <cfRule type="cellIs" priority="2447" operator="equal" dxfId="1">
      <formula>"L"</formula>
    </cfRule>
    <cfRule type="cellIs" priority="2448" operator="equal" dxfId="2">
      <formula>"D"</formula>
    </cfRule>
  </conditionalFormatting>
  <conditionalFormatting sqref="G31">
    <cfRule type="cellIs" priority="2449" operator="equal" dxfId="0">
      <formula>"W"</formula>
    </cfRule>
    <cfRule type="cellIs" priority="2450" operator="equal" dxfId="1">
      <formula>"L"</formula>
    </cfRule>
    <cfRule type="cellIs" priority="2451" operator="equal" dxfId="2">
      <formula>"D"</formula>
    </cfRule>
  </conditionalFormatting>
  <conditionalFormatting sqref="H31">
    <cfRule type="cellIs" priority="2452" operator="equal" dxfId="0">
      <formula>"W"</formula>
    </cfRule>
    <cfRule type="cellIs" priority="2453" operator="equal" dxfId="1">
      <formula>"L"</formula>
    </cfRule>
    <cfRule type="cellIs" priority="2454" operator="equal" dxfId="2">
      <formula>"D"</formula>
    </cfRule>
  </conditionalFormatting>
  <conditionalFormatting sqref="I31">
    <cfRule type="cellIs" priority="2455" operator="equal" dxfId="0">
      <formula>"W"</formula>
    </cfRule>
    <cfRule type="cellIs" priority="2456" operator="equal" dxfId="1">
      <formula>"L"</formula>
    </cfRule>
    <cfRule type="cellIs" priority="2457" operator="equal" dxfId="2">
      <formula>"D"</formula>
    </cfRule>
  </conditionalFormatting>
  <conditionalFormatting sqref="J31">
    <cfRule type="cellIs" priority="2458" operator="equal" dxfId="0">
      <formula>"W"</formula>
    </cfRule>
    <cfRule type="cellIs" priority="2459" operator="equal" dxfId="1">
      <formula>"L"</formula>
    </cfRule>
    <cfRule type="cellIs" priority="2460" operator="equal" dxfId="2">
      <formula>"D"</formula>
    </cfRule>
  </conditionalFormatting>
  <conditionalFormatting sqref="K31">
    <cfRule type="cellIs" priority="2461" operator="equal" dxfId="0">
      <formula>"W"</formula>
    </cfRule>
    <cfRule type="cellIs" priority="2462" operator="equal" dxfId="1">
      <formula>"L"</formula>
    </cfRule>
    <cfRule type="cellIs" priority="2463" operator="equal" dxfId="2">
      <formula>"D"</formula>
    </cfRule>
  </conditionalFormatting>
  <conditionalFormatting sqref="L31">
    <cfRule type="cellIs" priority="2464" operator="equal" dxfId="0">
      <formula>"W"</formula>
    </cfRule>
    <cfRule type="cellIs" priority="2465" operator="equal" dxfId="1">
      <formula>"L"</formula>
    </cfRule>
    <cfRule type="cellIs" priority="2466" operator="equal" dxfId="2">
      <formula>"D"</formula>
    </cfRule>
  </conditionalFormatting>
  <conditionalFormatting sqref="M31">
    <cfRule type="cellIs" priority="2467" operator="equal" dxfId="0">
      <formula>"W"</formula>
    </cfRule>
    <cfRule type="cellIs" priority="2468" operator="equal" dxfId="1">
      <formula>"L"</formula>
    </cfRule>
    <cfRule type="cellIs" priority="2469" operator="equal" dxfId="2">
      <formula>"D"</formula>
    </cfRule>
  </conditionalFormatting>
  <conditionalFormatting sqref="N31">
    <cfRule type="cellIs" priority="2470" operator="equal" dxfId="0">
      <formula>"W"</formula>
    </cfRule>
    <cfRule type="cellIs" priority="2471" operator="equal" dxfId="1">
      <formula>"L"</formula>
    </cfRule>
    <cfRule type="cellIs" priority="2472" operator="equal" dxfId="2">
      <formula>"D"</formula>
    </cfRule>
  </conditionalFormatting>
  <conditionalFormatting sqref="O31">
    <cfRule type="cellIs" priority="2473" operator="equal" dxfId="0">
      <formula>"W"</formula>
    </cfRule>
    <cfRule type="cellIs" priority="2474" operator="equal" dxfId="1">
      <formula>"L"</formula>
    </cfRule>
    <cfRule type="cellIs" priority="2475" operator="equal" dxfId="2">
      <formula>"D"</formula>
    </cfRule>
  </conditionalFormatting>
  <conditionalFormatting sqref="P31">
    <cfRule type="cellIs" priority="2476" operator="equal" dxfId="0">
      <formula>"W"</formula>
    </cfRule>
    <cfRule type="cellIs" priority="2477" operator="equal" dxfId="1">
      <formula>"L"</formula>
    </cfRule>
    <cfRule type="cellIs" priority="2478" operator="equal" dxfId="2">
      <formula>"D"</formula>
    </cfRule>
  </conditionalFormatting>
  <conditionalFormatting sqref="Q31">
    <cfRule type="cellIs" priority="2479" operator="equal" dxfId="0">
      <formula>"W"</formula>
    </cfRule>
    <cfRule type="cellIs" priority="2480" operator="equal" dxfId="1">
      <formula>"L"</formula>
    </cfRule>
    <cfRule type="cellIs" priority="2481" operator="equal" dxfId="2">
      <formula>"D"</formula>
    </cfRule>
  </conditionalFormatting>
  <conditionalFormatting sqref="R31">
    <cfRule type="cellIs" priority="2482" operator="equal" dxfId="0">
      <formula>"W"</formula>
    </cfRule>
    <cfRule type="cellIs" priority="2483" operator="equal" dxfId="1">
      <formula>"L"</formula>
    </cfRule>
    <cfRule type="cellIs" priority="2484" operator="equal" dxfId="2">
      <formula>"D"</formula>
    </cfRule>
  </conditionalFormatting>
  <conditionalFormatting sqref="S31">
    <cfRule type="cellIs" priority="2485" operator="equal" dxfId="0">
      <formula>"W"</formula>
    </cfRule>
    <cfRule type="cellIs" priority="2486" operator="equal" dxfId="1">
      <formula>"L"</formula>
    </cfRule>
    <cfRule type="cellIs" priority="2487" operator="equal" dxfId="2">
      <formula>"D"</formula>
    </cfRule>
  </conditionalFormatting>
  <conditionalFormatting sqref="T31">
    <cfRule type="cellIs" priority="2488" operator="equal" dxfId="0">
      <formula>"W"</formula>
    </cfRule>
    <cfRule type="cellIs" priority="2489" operator="equal" dxfId="1">
      <formula>"L"</formula>
    </cfRule>
    <cfRule type="cellIs" priority="2490" operator="equal" dxfId="2">
      <formula>"D"</formula>
    </cfRule>
  </conditionalFormatting>
  <conditionalFormatting sqref="U31">
    <cfRule type="cellIs" priority="2491" operator="equal" dxfId="0">
      <formula>"W"</formula>
    </cfRule>
    <cfRule type="cellIs" priority="2492" operator="equal" dxfId="1">
      <formula>"L"</formula>
    </cfRule>
    <cfRule type="cellIs" priority="2493" operator="equal" dxfId="2">
      <formula>"D"</formula>
    </cfRule>
  </conditionalFormatting>
  <conditionalFormatting sqref="V31">
    <cfRule type="cellIs" priority="2494" operator="equal" dxfId="0">
      <formula>"W"</formula>
    </cfRule>
    <cfRule type="cellIs" priority="2495" operator="equal" dxfId="1">
      <formula>"L"</formula>
    </cfRule>
    <cfRule type="cellIs" priority="2496" operator="equal" dxfId="2">
      <formula>"D"</formula>
    </cfRule>
  </conditionalFormatting>
  <conditionalFormatting sqref="W31">
    <cfRule type="cellIs" priority="2497" operator="equal" dxfId="0">
      <formula>"W"</formula>
    </cfRule>
    <cfRule type="cellIs" priority="2498" operator="equal" dxfId="1">
      <formula>"L"</formula>
    </cfRule>
    <cfRule type="cellIs" priority="2499" operator="equal" dxfId="2">
      <formula>"D"</formula>
    </cfRule>
  </conditionalFormatting>
  <conditionalFormatting sqref="X31">
    <cfRule type="cellIs" priority="2500" operator="equal" dxfId="0">
      <formula>"W"</formula>
    </cfRule>
    <cfRule type="cellIs" priority="2501" operator="equal" dxfId="1">
      <formula>"L"</formula>
    </cfRule>
    <cfRule type="cellIs" priority="2502" operator="equal" dxfId="2">
      <formula>"D"</formula>
    </cfRule>
  </conditionalFormatting>
  <conditionalFormatting sqref="Y31">
    <cfRule type="cellIs" priority="2503" operator="equal" dxfId="0">
      <formula>"W"</formula>
    </cfRule>
    <cfRule type="cellIs" priority="2504" operator="equal" dxfId="1">
      <formula>"L"</formula>
    </cfRule>
    <cfRule type="cellIs" priority="2505" operator="equal" dxfId="2">
      <formula>"D"</formula>
    </cfRule>
  </conditionalFormatting>
  <conditionalFormatting sqref="Z31">
    <cfRule type="cellIs" priority="2506" operator="equal" dxfId="0">
      <formula>"W"</formula>
    </cfRule>
    <cfRule type="cellIs" priority="2507" operator="equal" dxfId="1">
      <formula>"L"</formula>
    </cfRule>
    <cfRule type="cellIs" priority="2508" operator="equal" dxfId="2">
      <formula>"D"</formula>
    </cfRule>
  </conditionalFormatting>
  <conditionalFormatting sqref="AA31">
    <cfRule type="cellIs" priority="2509" operator="equal" dxfId="0">
      <formula>"W"</formula>
    </cfRule>
    <cfRule type="cellIs" priority="2510" operator="equal" dxfId="1">
      <formula>"L"</formula>
    </cfRule>
    <cfRule type="cellIs" priority="2511" operator="equal" dxfId="2">
      <formula>"D"</formula>
    </cfRule>
  </conditionalFormatting>
  <conditionalFormatting sqref="AB31">
    <cfRule type="cellIs" priority="2512" operator="equal" dxfId="0">
      <formula>"W"</formula>
    </cfRule>
    <cfRule type="cellIs" priority="2513" operator="equal" dxfId="1">
      <formula>"L"</formula>
    </cfRule>
    <cfRule type="cellIs" priority="2514" operator="equal" dxfId="2">
      <formula>"D"</formula>
    </cfRule>
  </conditionalFormatting>
  <conditionalFormatting sqref="AC31">
    <cfRule type="cellIs" priority="2515" operator="equal" dxfId="0">
      <formula>"W"</formula>
    </cfRule>
    <cfRule type="cellIs" priority="2516" operator="equal" dxfId="1">
      <formula>"L"</formula>
    </cfRule>
    <cfRule type="cellIs" priority="2517" operator="equal" dxfId="2">
      <formula>"D"</formula>
    </cfRule>
  </conditionalFormatting>
  <conditionalFormatting sqref="AD31">
    <cfRule type="cellIs" priority="2518" operator="equal" dxfId="0">
      <formula>"W"</formula>
    </cfRule>
    <cfRule type="cellIs" priority="2519" operator="equal" dxfId="1">
      <formula>"L"</formula>
    </cfRule>
    <cfRule type="cellIs" priority="2520" operator="equal" dxfId="2">
      <formula>"D"</formula>
    </cfRule>
  </conditionalFormatting>
  <conditionalFormatting sqref="AF31">
    <cfRule type="cellIs" priority="2521" operator="equal" dxfId="0">
      <formula>"W"</formula>
    </cfRule>
    <cfRule type="cellIs" priority="2522" operator="equal" dxfId="1">
      <formula>"L"</formula>
    </cfRule>
    <cfRule type="cellIs" priority="2523" operator="equal" dxfId="2">
      <formula>"D"</formula>
    </cfRule>
  </conditionalFormatting>
  <conditionalFormatting sqref="C32">
    <cfRule type="cellIs" priority="2524" operator="equal" dxfId="0">
      <formula>"W"</formula>
    </cfRule>
    <cfRule type="cellIs" priority="2525" operator="equal" dxfId="1">
      <formula>"L"</formula>
    </cfRule>
    <cfRule type="cellIs" priority="2526" operator="equal" dxfId="2">
      <formula>"D"</formula>
    </cfRule>
  </conditionalFormatting>
  <conditionalFormatting sqref="D32">
    <cfRule type="cellIs" priority="2527" operator="equal" dxfId="0">
      <formula>"W"</formula>
    </cfRule>
    <cfRule type="cellIs" priority="2528" operator="equal" dxfId="1">
      <formula>"L"</formula>
    </cfRule>
    <cfRule type="cellIs" priority="2529" operator="equal" dxfId="2">
      <formula>"D"</formula>
    </cfRule>
  </conditionalFormatting>
  <conditionalFormatting sqref="E32">
    <cfRule type="cellIs" priority="2530" operator="equal" dxfId="0">
      <formula>"W"</formula>
    </cfRule>
    <cfRule type="cellIs" priority="2531" operator="equal" dxfId="1">
      <formula>"L"</formula>
    </cfRule>
    <cfRule type="cellIs" priority="2532" operator="equal" dxfId="2">
      <formula>"D"</formula>
    </cfRule>
  </conditionalFormatting>
  <conditionalFormatting sqref="F32">
    <cfRule type="cellIs" priority="2533" operator="equal" dxfId="0">
      <formula>"W"</formula>
    </cfRule>
    <cfRule type="cellIs" priority="2534" operator="equal" dxfId="1">
      <formula>"L"</formula>
    </cfRule>
    <cfRule type="cellIs" priority="2535" operator="equal" dxfId="2">
      <formula>"D"</formula>
    </cfRule>
  </conditionalFormatting>
  <conditionalFormatting sqref="G32">
    <cfRule type="cellIs" priority="2536" operator="equal" dxfId="0">
      <formula>"W"</formula>
    </cfRule>
    <cfRule type="cellIs" priority="2537" operator="equal" dxfId="1">
      <formula>"L"</formula>
    </cfRule>
    <cfRule type="cellIs" priority="2538" operator="equal" dxfId="2">
      <formula>"D"</formula>
    </cfRule>
  </conditionalFormatting>
  <conditionalFormatting sqref="H32">
    <cfRule type="cellIs" priority="2539" operator="equal" dxfId="0">
      <formula>"W"</formula>
    </cfRule>
    <cfRule type="cellIs" priority="2540" operator="equal" dxfId="1">
      <formula>"L"</formula>
    </cfRule>
    <cfRule type="cellIs" priority="2541" operator="equal" dxfId="2">
      <formula>"D"</formula>
    </cfRule>
  </conditionalFormatting>
  <conditionalFormatting sqref="I32">
    <cfRule type="cellIs" priority="2542" operator="equal" dxfId="0">
      <formula>"W"</formula>
    </cfRule>
    <cfRule type="cellIs" priority="2543" operator="equal" dxfId="1">
      <formula>"L"</formula>
    </cfRule>
    <cfRule type="cellIs" priority="2544" operator="equal" dxfId="2">
      <formula>"D"</formula>
    </cfRule>
  </conditionalFormatting>
  <conditionalFormatting sqref="J32">
    <cfRule type="cellIs" priority="2545" operator="equal" dxfId="0">
      <formula>"W"</formula>
    </cfRule>
    <cfRule type="cellIs" priority="2546" operator="equal" dxfId="1">
      <formula>"L"</formula>
    </cfRule>
    <cfRule type="cellIs" priority="2547" operator="equal" dxfId="2">
      <formula>"D"</formula>
    </cfRule>
  </conditionalFormatting>
  <conditionalFormatting sqref="K32">
    <cfRule type="cellIs" priority="2548" operator="equal" dxfId="0">
      <formula>"W"</formula>
    </cfRule>
    <cfRule type="cellIs" priority="2549" operator="equal" dxfId="1">
      <formula>"L"</formula>
    </cfRule>
    <cfRule type="cellIs" priority="2550" operator="equal" dxfId="2">
      <formula>"D"</formula>
    </cfRule>
  </conditionalFormatting>
  <conditionalFormatting sqref="L32">
    <cfRule type="cellIs" priority="2551" operator="equal" dxfId="0">
      <formula>"W"</formula>
    </cfRule>
    <cfRule type="cellIs" priority="2552" operator="equal" dxfId="1">
      <formula>"L"</formula>
    </cfRule>
    <cfRule type="cellIs" priority="2553" operator="equal" dxfId="2">
      <formula>"D"</formula>
    </cfRule>
  </conditionalFormatting>
  <conditionalFormatting sqref="M32">
    <cfRule type="cellIs" priority="2554" operator="equal" dxfId="0">
      <formula>"W"</formula>
    </cfRule>
    <cfRule type="cellIs" priority="2555" operator="equal" dxfId="1">
      <formula>"L"</formula>
    </cfRule>
    <cfRule type="cellIs" priority="2556" operator="equal" dxfId="2">
      <formula>"D"</formula>
    </cfRule>
  </conditionalFormatting>
  <conditionalFormatting sqref="N32">
    <cfRule type="cellIs" priority="2557" operator="equal" dxfId="0">
      <formula>"W"</formula>
    </cfRule>
    <cfRule type="cellIs" priority="2558" operator="equal" dxfId="1">
      <formula>"L"</formula>
    </cfRule>
    <cfRule type="cellIs" priority="2559" operator="equal" dxfId="2">
      <formula>"D"</formula>
    </cfRule>
  </conditionalFormatting>
  <conditionalFormatting sqref="O32">
    <cfRule type="cellIs" priority="2560" operator="equal" dxfId="0">
      <formula>"W"</formula>
    </cfRule>
    <cfRule type="cellIs" priority="2561" operator="equal" dxfId="1">
      <formula>"L"</formula>
    </cfRule>
    <cfRule type="cellIs" priority="2562" operator="equal" dxfId="2">
      <formula>"D"</formula>
    </cfRule>
  </conditionalFormatting>
  <conditionalFormatting sqref="P32">
    <cfRule type="cellIs" priority="2563" operator="equal" dxfId="0">
      <formula>"W"</formula>
    </cfRule>
    <cfRule type="cellIs" priority="2564" operator="equal" dxfId="1">
      <formula>"L"</formula>
    </cfRule>
    <cfRule type="cellIs" priority="2565" operator="equal" dxfId="2">
      <formula>"D"</formula>
    </cfRule>
  </conditionalFormatting>
  <conditionalFormatting sqref="Q32">
    <cfRule type="cellIs" priority="2566" operator="equal" dxfId="0">
      <formula>"W"</formula>
    </cfRule>
    <cfRule type="cellIs" priority="2567" operator="equal" dxfId="1">
      <formula>"L"</formula>
    </cfRule>
    <cfRule type="cellIs" priority="2568" operator="equal" dxfId="2">
      <formula>"D"</formula>
    </cfRule>
  </conditionalFormatting>
  <conditionalFormatting sqref="R32">
    <cfRule type="cellIs" priority="2569" operator="equal" dxfId="0">
      <formula>"W"</formula>
    </cfRule>
    <cfRule type="cellIs" priority="2570" operator="equal" dxfId="1">
      <formula>"L"</formula>
    </cfRule>
    <cfRule type="cellIs" priority="2571" operator="equal" dxfId="2">
      <formula>"D"</formula>
    </cfRule>
  </conditionalFormatting>
  <conditionalFormatting sqref="S32">
    <cfRule type="cellIs" priority="2572" operator="equal" dxfId="0">
      <formula>"W"</formula>
    </cfRule>
    <cfRule type="cellIs" priority="2573" operator="equal" dxfId="1">
      <formula>"L"</formula>
    </cfRule>
    <cfRule type="cellIs" priority="2574" operator="equal" dxfId="2">
      <formula>"D"</formula>
    </cfRule>
  </conditionalFormatting>
  <conditionalFormatting sqref="T32">
    <cfRule type="cellIs" priority="2575" operator="equal" dxfId="0">
      <formula>"W"</formula>
    </cfRule>
    <cfRule type="cellIs" priority="2576" operator="equal" dxfId="1">
      <formula>"L"</formula>
    </cfRule>
    <cfRule type="cellIs" priority="2577" operator="equal" dxfId="2">
      <formula>"D"</formula>
    </cfRule>
  </conditionalFormatting>
  <conditionalFormatting sqref="U32">
    <cfRule type="cellIs" priority="2578" operator="equal" dxfId="0">
      <formula>"W"</formula>
    </cfRule>
    <cfRule type="cellIs" priority="2579" operator="equal" dxfId="1">
      <formula>"L"</formula>
    </cfRule>
    <cfRule type="cellIs" priority="2580" operator="equal" dxfId="2">
      <formula>"D"</formula>
    </cfRule>
  </conditionalFormatting>
  <conditionalFormatting sqref="V32">
    <cfRule type="cellIs" priority="2581" operator="equal" dxfId="0">
      <formula>"W"</formula>
    </cfRule>
    <cfRule type="cellIs" priority="2582" operator="equal" dxfId="1">
      <formula>"L"</formula>
    </cfRule>
    <cfRule type="cellIs" priority="2583" operator="equal" dxfId="2">
      <formula>"D"</formula>
    </cfRule>
  </conditionalFormatting>
  <conditionalFormatting sqref="W32">
    <cfRule type="cellIs" priority="2584" operator="equal" dxfId="0">
      <formula>"W"</formula>
    </cfRule>
    <cfRule type="cellIs" priority="2585" operator="equal" dxfId="1">
      <formula>"L"</formula>
    </cfRule>
    <cfRule type="cellIs" priority="2586" operator="equal" dxfId="2">
      <formula>"D"</formula>
    </cfRule>
  </conditionalFormatting>
  <conditionalFormatting sqref="X32">
    <cfRule type="cellIs" priority="2587" operator="equal" dxfId="0">
      <formula>"W"</formula>
    </cfRule>
    <cfRule type="cellIs" priority="2588" operator="equal" dxfId="1">
      <formula>"L"</formula>
    </cfRule>
    <cfRule type="cellIs" priority="2589" operator="equal" dxfId="2">
      <formula>"D"</formula>
    </cfRule>
  </conditionalFormatting>
  <conditionalFormatting sqref="Y32">
    <cfRule type="cellIs" priority="2590" operator="equal" dxfId="0">
      <formula>"W"</formula>
    </cfRule>
    <cfRule type="cellIs" priority="2591" operator="equal" dxfId="1">
      <formula>"L"</formula>
    </cfRule>
    <cfRule type="cellIs" priority="2592" operator="equal" dxfId="2">
      <formula>"D"</formula>
    </cfRule>
  </conditionalFormatting>
  <conditionalFormatting sqref="Z32">
    <cfRule type="cellIs" priority="2593" operator="equal" dxfId="0">
      <formula>"W"</formula>
    </cfRule>
    <cfRule type="cellIs" priority="2594" operator="equal" dxfId="1">
      <formula>"L"</formula>
    </cfRule>
    <cfRule type="cellIs" priority="2595" operator="equal" dxfId="2">
      <formula>"D"</formula>
    </cfRule>
  </conditionalFormatting>
  <conditionalFormatting sqref="AA32">
    <cfRule type="cellIs" priority="2596" operator="equal" dxfId="0">
      <formula>"W"</formula>
    </cfRule>
    <cfRule type="cellIs" priority="2597" operator="equal" dxfId="1">
      <formula>"L"</formula>
    </cfRule>
    <cfRule type="cellIs" priority="2598" operator="equal" dxfId="2">
      <formula>"D"</formula>
    </cfRule>
  </conditionalFormatting>
  <conditionalFormatting sqref="AB32">
    <cfRule type="cellIs" priority="2599" operator="equal" dxfId="0">
      <formula>"W"</formula>
    </cfRule>
    <cfRule type="cellIs" priority="2600" operator="equal" dxfId="1">
      <formula>"L"</formula>
    </cfRule>
    <cfRule type="cellIs" priority="2601" operator="equal" dxfId="2">
      <formula>"D"</formula>
    </cfRule>
  </conditionalFormatting>
  <conditionalFormatting sqref="AC32">
    <cfRule type="cellIs" priority="2602" operator="equal" dxfId="0">
      <formula>"W"</formula>
    </cfRule>
    <cfRule type="cellIs" priority="2603" operator="equal" dxfId="1">
      <formula>"L"</formula>
    </cfRule>
    <cfRule type="cellIs" priority="2604" operator="equal" dxfId="2">
      <formula>"D"</formula>
    </cfRule>
  </conditionalFormatting>
  <conditionalFormatting sqref="AD32">
    <cfRule type="cellIs" priority="2605" operator="equal" dxfId="0">
      <formula>"W"</formula>
    </cfRule>
    <cfRule type="cellIs" priority="2606" operator="equal" dxfId="1">
      <formula>"L"</formula>
    </cfRule>
    <cfRule type="cellIs" priority="2607" operator="equal" dxfId="2">
      <formula>"D"</formula>
    </cfRule>
  </conditionalFormatting>
  <conditionalFormatting sqref="AE32">
    <cfRule type="cellIs" priority="2608" operator="equal" dxfId="0">
      <formula>"W"</formula>
    </cfRule>
    <cfRule type="cellIs" priority="2609" operator="equal" dxfId="1">
      <formula>"L"</formula>
    </cfRule>
    <cfRule type="cellIs" priority="2610" operator="equal" dxfId="2">
      <formula>"D"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2026-02-28T13:08:03Z</dcterms:created>
  <dcterms:modified xmlns:dcterms="http://purl.org/dc/terms/" xmlns:xsi="http://www.w3.org/2001/XMLSchema-instance" xsi:type="dcterms:W3CDTF">2026-02-28T14:00:42Z</dcterms:modified>
  <cp:revision>2</cp:revision>
</cp:coreProperties>
</file>